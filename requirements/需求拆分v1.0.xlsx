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作项列表" r:id="rId3" sheetId="1"/>
  </sheets>
</workbook>
</file>

<file path=xl/sharedStrings.xml><?xml version="1.0" encoding="utf-8"?>
<sst xmlns="http://schemas.openxmlformats.org/spreadsheetml/2006/main" count="1411" uniqueCount="159">
  <si>
    <t/>
  </si>
  <si>
    <t>类型</t>
  </si>
  <si>
    <t>标题</t>
  </si>
  <si>
    <t>编号</t>
  </si>
  <si>
    <t>父工作项编号</t>
  </si>
  <si>
    <t>迭代</t>
  </si>
  <si>
    <t>模块</t>
  </si>
  <si>
    <t>优先级顺序</t>
  </si>
  <si>
    <t>优先级</t>
  </si>
  <si>
    <t>重要程度</t>
  </si>
  <si>
    <t>状态</t>
  </si>
  <si>
    <t>描述</t>
  </si>
  <si>
    <t>标签</t>
  </si>
  <si>
    <t>领域</t>
  </si>
  <si>
    <t>备注</t>
  </si>
  <si>
    <t>发布版本号</t>
  </si>
  <si>
    <t>发现版本号</t>
  </si>
  <si>
    <t>预计工时</t>
  </si>
  <si>
    <t>实际工时</t>
  </si>
  <si>
    <t>故事点</t>
  </si>
  <si>
    <t>完成度</t>
  </si>
  <si>
    <t>处理人</t>
  </si>
  <si>
    <t>抄送人</t>
  </si>
  <si>
    <t>创建人</t>
  </si>
  <si>
    <t>开发人员</t>
  </si>
  <si>
    <t>创建时间</t>
  </si>
  <si>
    <t>更新时间</t>
  </si>
  <si>
    <t>结束时间</t>
  </si>
  <si>
    <t>预计开始日期</t>
  </si>
  <si>
    <t>预计结束日期</t>
  </si>
  <si>
    <t>相对排序值</t>
  </si>
  <si>
    <t>发现环境</t>
  </si>
  <si>
    <r>
      <rPr>
        <color indexed="12"/>
        <sz val="11.0"/>
        <rFont val="Calibri"/>
      </rPr>
      <t>Epic</t>
    </r>
  </si>
  <si>
    <r>
      <rPr>
        <color indexed="12"/>
        <sz val="11.0"/>
        <rFont val="Calibri"/>
      </rPr>
      <t>4-基于 Dify 的 LLM + 真实数据工作流（LLM Workflow &amp; Real Data Integration）</t>
    </r>
  </si>
  <si>
    <r>
      <rPr>
        <color indexed="12"/>
        <sz val="11.0"/>
        <rFont val="Calibri"/>
      </rPr>
      <t>中</t>
    </r>
  </si>
  <si>
    <r>
      <rPr>
        <color indexed="12"/>
        <sz val="11.0"/>
        <rFont val="Calibri"/>
      </rPr>
      <t>一般</t>
    </r>
  </si>
  <si>
    <r>
      <rPr>
        <color indexed="12"/>
        <sz val="11.0"/>
        <rFont val="Calibri"/>
      </rPr>
      <t>新建</t>
    </r>
  </si>
  <si>
    <t xml:space="preserve"> 作为 &lt;用户角色&gt;
 我想要 &lt;结果&gt;
 以便于 &lt;目的&gt;目标： 通过 Dify 工作流打通 LLM、真实港股行情、资讯与财务等数据源，实现六大场景对应的能力输出，并保证输出结构化、可控、稳定。覆盖能力：Dify Workflow 设计（结构化步骤）用户意图识别（选股/诊股/大势/宏观）对接真实数据：指数、个股、新闻、财务等统一 Prompt 骨架（固定回答结构）数据清洗与字段映射API 调用异常处理输出结构化回答（固定格式）</t>
  </si>
  <si>
    <r>
      <rPr>
        <color indexed="12"/>
        <sz val="11.0"/>
        <rFont val="Calibri"/>
      </rPr>
      <t>IAM_Admin</t>
    </r>
  </si>
  <si>
    <r>
      <rPr>
        <color indexed="12"/>
        <sz val="11.0"/>
        <rFont val="Calibri"/>
      </rPr>
      <t>2025/12/01 15:07:52 GMT+08:00</t>
    </r>
  </si>
  <si>
    <r>
      <rPr>
        <color indexed="12"/>
        <sz val="11.0"/>
        <rFont val="Calibri"/>
      </rPr>
      <t>2025/12/01 15:32:06 GMT+08:00</t>
    </r>
  </si>
  <si>
    <r>
      <rPr>
        <color indexed="12"/>
        <sz val="11.0"/>
        <rFont val="Calibri"/>
      </rPr>
      <t>2025/12/01</t>
    </r>
  </si>
  <si>
    <r>
      <rPr>
        <color indexed="12"/>
        <sz val="11.0"/>
        <rFont val="Calibri"/>
      </rPr>
      <t>2025/12/31</t>
    </r>
  </si>
  <si>
    <r>
      <rPr>
        <color indexed="12"/>
        <sz val="11.0"/>
        <rFont val="Calibri"/>
      </rPr>
      <t>Feature</t>
    </r>
  </si>
  <si>
    <r>
      <rPr>
        <color indexed="12"/>
        <sz val="11.0"/>
        <rFont val="Calibri"/>
      </rPr>
      <t xml:space="preserve">    4.1-合规性检查与内容审核（Compliance Check &amp; Content Safety）</t>
    </r>
  </si>
  <si>
    <t xml:space="preserve"> 作为 &lt;用户角色&gt;
 我想要 &lt;结果&gt;
 以便于 &lt;目的&gt; 
Story 4.1.1 — 自动审核用户输入是否合规作为一个用户， 我希望系统能在回答前检查输入内容是否合法、合规、无敏感风险， 以便确保系统不会输出违反规定的内容。Story 4.1.2 — 不合规时返回固定话术作为一个用户， 我希望在我提出违规或敏感问题时，系统能输出安全的提示话术， 以便我清楚地知道该问题无法回答。</t>
  </si>
  <si>
    <r>
      <rPr>
        <color indexed="12"/>
        <sz val="11.0"/>
        <rFont val="Calibri"/>
      </rPr>
      <t>2025/12/01 15:40:49 GMT+08:00</t>
    </r>
  </si>
  <si>
    <r>
      <rPr>
        <color indexed="12"/>
        <sz val="11.0"/>
        <rFont val="Calibri"/>
      </rPr>
      <t>2025/12/01 17:56:45 GMT+08:00</t>
    </r>
  </si>
  <si>
    <r>
      <rPr>
        <color indexed="12"/>
        <sz val="11.0"/>
        <rFont val="Calibri"/>
      </rPr>
      <t xml:space="preserve">    4.2-意图分支（Intent Branching）</t>
    </r>
  </si>
  <si>
    <t xml:space="preserve"> 作为 &lt;用户角色&gt;
 我想要 &lt;结果&gt;
 以便于 &lt;目的&gt; 
Story 4.2.1 — 判断是否为港股查询场景作为一个用户， 我希望系统能判断我的问题是否属于“港股行情/个股/大盘”类， 以便进入港股数据查询链路。Story 4.2.2 — 判断是否为新闻搜索场景作为一个用户， 我希望系统能识别我是否想查新闻或事件， 以便系统调用新闻搜索能力。Story 4.2.3 — 判断是否需要其他默认回答（Fallback）作为系统设计者， 我希望当用户意图不明确时，系统能进入默认回答逻辑， 以避免逻辑断层。
</t>
  </si>
  <si>
    <r>
      <rPr>
        <color indexed="12"/>
        <sz val="11.0"/>
        <rFont val="Calibri"/>
      </rPr>
      <t>2025/12/01 15:40:50 GMT+08:00</t>
    </r>
  </si>
  <si>
    <r>
      <rPr>
        <color indexed="12"/>
        <sz val="11.0"/>
        <rFont val="Calibri"/>
      </rPr>
      <t>2025/12/01 17:57:00 GMT+08:00</t>
    </r>
  </si>
  <si>
    <r>
      <rPr>
        <color indexed="12"/>
        <sz val="11.0"/>
        <rFont val="Calibri"/>
      </rPr>
      <t xml:space="preserve">    4.3-HKEX 知识库检索（HKEX Knowledge Base Lookup）</t>
    </r>
  </si>
  <si>
    <t xml:space="preserve"> 作为 &lt;用户角色&gt;
 我想要 &lt;结果&gt;
 以便于 &lt;目的&gt; 
Story 4.3.1 — 识别用户提问中的股票名称/简称作为一个用户， 我希望当我输入“腾讯”“港交所”“比亚迪”等名称时， 系统能识别并匹配到正确的股票。Story 4.3.2 — 自动查询股票代码（Symbol Mapping）作为一个用户， 我希望系统能通过 HKEX 知识库自动找到对应股票的代码， 以便后续调用真实行情数据。</t>
  </si>
  <si>
    <r>
      <rPr>
        <color indexed="12"/>
        <sz val="11.0"/>
        <rFont val="Calibri"/>
      </rPr>
      <t>2025/12/01 17:57:17 GMT+08:00</t>
    </r>
  </si>
  <si>
    <r>
      <rPr>
        <color indexed="12"/>
        <sz val="11.0"/>
        <rFont val="Calibri"/>
      </rPr>
      <t xml:space="preserve">    4.4-真实数据调用（Real Data Integration）</t>
    </r>
  </si>
  <si>
    <t xml:space="preserve"> 作为 &lt;用户角色&gt;
 我想要 &lt;结果&gt;
 以便于 &lt;目的&gt; 
Story 4.4.1 — 查询指数数据（恒指/国指/科指）作为一个用户， 我希望系统能调用港股指数的真实数据， 以便我了解整体市场情况。Story 4.4.2 — 查询个股真实行情作为一个用户， 我希望系统能根据识别出的股票代码查询最新股价、涨跌幅、成交额等， 以便获得准确的市场信息。Story 4.4.3 — 查询相关新闻并生成摘要作为一个用户， 我希望系统能抓取相关的最新新闻并总结要点， 以便我快速理解事件影响。</t>
  </si>
  <si>
    <r>
      <rPr>
        <color indexed="12"/>
        <sz val="11.0"/>
        <rFont val="Calibri"/>
      </rPr>
      <t>2025/12/01 15:40:51 GMT+08:00</t>
    </r>
  </si>
  <si>
    <r>
      <rPr>
        <color indexed="12"/>
        <sz val="11.0"/>
        <rFont val="Calibri"/>
      </rPr>
      <t>2025/12/01 17:57:37 GMT+08:00</t>
    </r>
  </si>
  <si>
    <r>
      <rPr>
        <color indexed="12"/>
        <sz val="11.0"/>
        <rFont val="Calibri"/>
      </rPr>
      <t xml:space="preserve">    4.5-结构化回答模板（Structured Output Template）</t>
    </r>
  </si>
  <si>
    <t xml:space="preserve"> 作为 &lt;用户角色&gt;
 我想要 &lt;结果&gt;
 以便于 &lt;目的&gt; 
【市场全景概览】 【深度维度分析】 ▪ 实时行情与技术面 ▪ 财务与估值分析 ▪ 资金与情绪面 ▪ 行业与政策环境 ▪ 宏观经济关联 【全面风险提示】Story 4.5.1 — 按标准格式输出市场全景概览作为一个用户， 我希望系统首先提供市场整体情况， 以便我快速理解当前市场背景。Story 4.5.2 — 输出实时行情与技术面分析作为一个用户， 我希望系统能分析走势、均线、波动等指标， 以便我理解短期趋势。Story 4.5.3 — 输出财务与估值分析作为一个用户， 我希望系统能提供财务数据亮点与估值参考， 以便我判断企业基本面。Story 4.5.4 — 输出资金面与情绪面分析作为一个用户， 我希望系统能提供资金流向、北向资金、资金情绪指标， 以便判断市场热度。Story 4.5.5 — 输出行业与政策环境分析作为一个用户， 我希望系统能解释行业趋势、政策影响， 以便我理解宏观影响因素。Story 4.5.6 — 输出全面风险提示（合规要求）作为系统设计者， 我希望每个回答都包含明确的风险提示， 以确保输出符合合规要求。</t>
  </si>
  <si>
    <r>
      <rPr>
        <color indexed="12"/>
        <sz val="11.0"/>
        <rFont val="Calibri"/>
      </rPr>
      <t>jeannelian</t>
    </r>
  </si>
  <si>
    <r>
      <rPr>
        <color indexed="12"/>
        <sz val="11.0"/>
        <rFont val="Calibri"/>
      </rPr>
      <t>2025/12/01 17:54:03 GMT+08:00</t>
    </r>
  </si>
  <si>
    <r>
      <rPr>
        <color indexed="12"/>
        <sz val="11.0"/>
        <rFont val="Calibri"/>
      </rPr>
      <t>2025/12/01 17:58:04 GMT+08:00</t>
    </r>
  </si>
  <si>
    <r>
      <rPr>
        <color indexed="12"/>
        <sz val="11.0"/>
        <rFont val="Calibri"/>
      </rPr>
      <t>3-对话体验与对话管理 （Chat Interaction &amp; Conversation Management）</t>
    </r>
  </si>
  <si>
    <t xml:space="preserve"> 作为 &lt;用户角色&gt;
 我想要 &lt;结果&gt;
 以便于 &lt;目的&gt;目标： 支持用户与系统进行自然语言对话，包括多轮交流、上下文记忆、侧边栏对话管理、历史搜索、切换对话会话等完整对话体验。覆盖能力：Chat 输入框与发送AI 回答展示（文本、格式化内容）多轮对话与上下文侧边栏展开 / 收起历史对话列表新建会话搜索历史记录对话重命名切换对话</t>
  </si>
  <si>
    <r>
      <rPr>
        <color indexed="12"/>
        <sz val="11.0"/>
        <rFont val="Calibri"/>
      </rPr>
      <t>2025/12/01 15:06:48 GMT+08:00</t>
    </r>
  </si>
  <si>
    <r>
      <rPr>
        <color indexed="12"/>
        <sz val="11.0"/>
        <rFont val="Calibri"/>
      </rPr>
      <t>2025/12/01 15:31:54 GMT+08:00</t>
    </r>
  </si>
  <si>
    <r>
      <rPr>
        <color indexed="12"/>
        <sz val="11.0"/>
        <rFont val="Calibri"/>
      </rPr>
      <t xml:space="preserve">    3.1- 聊天输入输出（Chat UI）</t>
    </r>
  </si>
  <si>
    <t xml:space="preserve"> 作为 &lt;用户角色&gt;
 我想要 &lt;结果&gt;
 以便于 &lt;目的&gt; </t>
  </si>
  <si>
    <r>
      <rPr>
        <color indexed="12"/>
        <sz val="11.0"/>
        <rFont val="Calibri"/>
      </rPr>
      <t>2025/12/01 15:39:51 GMT+08:00</t>
    </r>
  </si>
  <si>
    <r>
      <rPr>
        <color indexed="12"/>
        <sz val="11.0"/>
        <rFont val="Calibri"/>
      </rPr>
      <t>2025/12/01 16:29:37 GMT+08:00</t>
    </r>
  </si>
  <si>
    <r>
      <rPr>
        <color indexed="12"/>
        <sz val="11.0"/>
        <rFont val="Calibri"/>
      </rPr>
      <t>Story</t>
    </r>
  </si>
  <si>
    <r>
      <rPr>
        <color indexed="12"/>
        <sz val="11.0"/>
        <rFont val="Calibri"/>
      </rPr>
      <t xml:space="preserve">        3.1.1-用户输入问题并发送</t>
    </r>
  </si>
  <si>
    <t xml:space="preserve"> 作为 &lt;用户角色&gt;
 我想要 &lt;结果&gt;
 以便于 &lt;目的&gt; 作为一个用户， 我希望能通过输入框发送问题， 以便我能与系统进行自然语言交互。
</t>
  </si>
  <si>
    <r>
      <rPr>
        <color indexed="12"/>
        <sz val="11.0"/>
        <rFont val="Calibri"/>
      </rPr>
      <t>2025/12/01 15:39:55 GMT+08:00</t>
    </r>
  </si>
  <si>
    <r>
      <rPr>
        <color indexed="12"/>
        <sz val="11.0"/>
        <rFont val="Calibri"/>
      </rPr>
      <t>2025/12/01 17:12:56 GMT+08:00</t>
    </r>
  </si>
  <si>
    <r>
      <rPr>
        <color indexed="12"/>
        <sz val="11.0"/>
        <rFont val="Calibri"/>
      </rPr>
      <t xml:space="preserve">        3.1.2-系统以消息气泡形式展示回答</t>
    </r>
  </si>
  <si>
    <t xml:space="preserve"> 作为 &lt;用户角色&gt;
 我想要 &lt;结果&gt;
 以便于 &lt;目的&gt; 作为一个用户， 我希望系统的回答以清晰的消息形式展示， 以便我轻松阅读。</t>
  </si>
  <si>
    <r>
      <rPr>
        <color indexed="12"/>
        <sz val="11.0"/>
        <rFont val="Calibri"/>
      </rPr>
      <t>2025/12/01 15:39:56 GMT+08:00</t>
    </r>
  </si>
  <si>
    <r>
      <rPr>
        <color indexed="12"/>
        <sz val="11.0"/>
        <rFont val="Calibri"/>
      </rPr>
      <t>2025/12/01 17:15:33 GMT+08:00</t>
    </r>
  </si>
  <si>
    <r>
      <rPr>
        <color indexed="12"/>
        <sz val="11.0"/>
        <rFont val="Calibri"/>
      </rPr>
      <t xml:space="preserve">    3.2-多轮对话（Multi-turn Context）</t>
    </r>
  </si>
  <si>
    <r>
      <rPr>
        <color indexed="12"/>
        <sz val="11.0"/>
        <rFont val="Calibri"/>
      </rPr>
      <t>2025/12/01 17:17:14 GMT+08:00</t>
    </r>
  </si>
  <si>
    <r>
      <rPr>
        <color indexed="12"/>
        <sz val="11.0"/>
        <rFont val="Calibri"/>
      </rPr>
      <t xml:space="preserve">        3.2.1-对话保持上下文</t>
    </r>
  </si>
  <si>
    <t xml:space="preserve"> 作为 &lt;用户角色&gt;
 我想要 &lt;结果&gt;
 以便于 &lt;目的&gt; 作为一个用户， 我希望系统能记住当前会话中的上下文， 以便我可以连续追问而不需要重复背景。</t>
  </si>
  <si>
    <r>
      <rPr>
        <color indexed="12"/>
        <sz val="11.0"/>
        <rFont val="Calibri"/>
      </rPr>
      <t>2025/12/01 15:40:02 GMT+08:00</t>
    </r>
  </si>
  <si>
    <r>
      <rPr>
        <color indexed="12"/>
        <sz val="11.0"/>
        <rFont val="Calibri"/>
      </rPr>
      <t>2025/12/01 17:17:47 GMT+08:00</t>
    </r>
  </si>
  <si>
    <r>
      <rPr>
        <color indexed="12"/>
        <sz val="11.0"/>
        <rFont val="Calibri"/>
      </rPr>
      <t xml:space="preserve">    3.3-侧边栏管理（Sidebar Management）</t>
    </r>
  </si>
  <si>
    <r>
      <rPr>
        <color indexed="12"/>
        <sz val="11.0"/>
        <rFont val="Calibri"/>
      </rPr>
      <t>2025/12/01 15:39:52 GMT+08:00</t>
    </r>
  </si>
  <si>
    <r>
      <rPr>
        <color indexed="12"/>
        <sz val="11.0"/>
        <rFont val="Calibri"/>
      </rPr>
      <t>2025/12/01 17:18:36 GMT+08:00</t>
    </r>
  </si>
  <si>
    <r>
      <rPr>
        <color indexed="12"/>
        <sz val="11.0"/>
        <rFont val="Calibri"/>
      </rPr>
      <t xml:space="preserve">        3.3.1-侧边栏可展开和收起</t>
    </r>
  </si>
  <si>
    <t xml:space="preserve"> 作为 &lt;用户角色&gt;
 我想要 &lt;结果&gt;
 以便于 &lt;目的&gt; 作为一个用户， 我希望侧边栏可以展开与收起， 以便我在专注对话或管理会话之间自由切换。</t>
  </si>
  <si>
    <r>
      <rPr>
        <color indexed="12"/>
        <sz val="11.0"/>
        <rFont val="Calibri"/>
      </rPr>
      <t>2025/12/01 15:40:15 GMT+08:00</t>
    </r>
  </si>
  <si>
    <r>
      <rPr>
        <color indexed="12"/>
        <sz val="11.0"/>
        <rFont val="Calibri"/>
      </rPr>
      <t>2025/12/01 17:19:06 GMT+08:00</t>
    </r>
  </si>
  <si>
    <r>
      <rPr>
        <color indexed="12"/>
        <sz val="11.0"/>
        <rFont val="Calibri"/>
      </rPr>
      <t xml:space="preserve">        3.3.2-可在侧边栏查看所有历史会话</t>
    </r>
  </si>
  <si>
    <t xml:space="preserve"> 作为 &lt;用户角色&gt;
 我想要 &lt;结果&gt;
 以便于 &lt;目的&gt; 
作为一个用户， 我希望侧边栏能显示所有历史对话列表， 以便我能够切换过去的会话。</t>
  </si>
  <si>
    <r>
      <rPr>
        <color indexed="12"/>
        <sz val="11.0"/>
        <rFont val="Calibri"/>
      </rPr>
      <t>2025/12/01 15:40:19 GMT+08:00</t>
    </r>
  </si>
  <si>
    <r>
      <rPr>
        <color indexed="12"/>
        <sz val="11.0"/>
        <rFont val="Calibri"/>
      </rPr>
      <t>2025/12/01 17:19:36 GMT+08:00</t>
    </r>
  </si>
  <si>
    <r>
      <rPr>
        <color indexed="12"/>
        <sz val="11.0"/>
        <rFont val="Calibri"/>
      </rPr>
      <t xml:space="preserve">    3.4-搜索与管理历史对话</t>
    </r>
  </si>
  <si>
    <r>
      <rPr>
        <color indexed="12"/>
        <sz val="11.0"/>
        <rFont val="Calibri"/>
      </rPr>
      <t>2025/12/01 17:20:04 GMT+08:00</t>
    </r>
  </si>
  <si>
    <r>
      <rPr>
        <color indexed="12"/>
        <sz val="11.0"/>
        <rFont val="Calibri"/>
      </rPr>
      <t xml:space="preserve">        3.4.1-搜索历史对话</t>
    </r>
  </si>
  <si>
    <t xml:space="preserve"> 作为 &lt;用户角色&gt;
 我想要 &lt;结果&gt;
 以便于 &lt;目的&gt; 
作为一个用户， 我希望能通过搜索框找到过去的会话， 以便快速定位之前的查询。
</t>
  </si>
  <si>
    <r>
      <rPr>
        <color indexed="12"/>
        <sz val="11.0"/>
        <rFont val="Calibri"/>
      </rPr>
      <t>2025/12/01 15:40:24 GMT+08:00</t>
    </r>
  </si>
  <si>
    <r>
      <rPr>
        <color indexed="12"/>
        <sz val="11.0"/>
        <rFont val="Calibri"/>
      </rPr>
      <t>2025/12/01 17:20:50 GMT+08:00</t>
    </r>
  </si>
  <si>
    <r>
      <rPr>
        <color indexed="12"/>
        <sz val="11.0"/>
        <rFont val="Calibri"/>
      </rPr>
      <t xml:space="preserve">        3.4.2-新建对话</t>
    </r>
  </si>
  <si>
    <t xml:space="preserve"> 作为 &lt;用户角色&gt;
 我想要 &lt;结果&gt;
 以便于 &lt;目的&gt; 
作为一个用户， 我希望可以随时新建一个对话， 以便重新开始一个新的查询主题。</t>
  </si>
  <si>
    <r>
      <rPr>
        <color indexed="12"/>
        <sz val="11.0"/>
        <rFont val="Calibri"/>
      </rPr>
      <t>2025/12/01 15:40:25 GMT+08:00</t>
    </r>
  </si>
  <si>
    <r>
      <rPr>
        <color indexed="12"/>
        <sz val="11.0"/>
        <rFont val="Calibri"/>
      </rPr>
      <t>2025/12/01 17:21:32 GMT+08:00</t>
    </r>
  </si>
  <si>
    <r>
      <rPr>
        <color indexed="12"/>
        <sz val="11.0"/>
        <rFont val="Calibri"/>
      </rPr>
      <t xml:space="preserve">        3.4.3-对话重命名</t>
    </r>
  </si>
  <si>
    <t xml:space="preserve"> 作为 &lt;用户角色&gt;
 我想要 &lt;结果&gt;
 以便于 &lt;目的&gt;  作为一个用户， 我希望可以修改对话标题， 以便我按主题管理会话。</t>
  </si>
  <si>
    <r>
      <rPr>
        <color indexed="12"/>
        <sz val="11.0"/>
        <rFont val="Calibri"/>
      </rPr>
      <t>2025/12/01 17:22:11 GMT+08:00</t>
    </r>
  </si>
  <si>
    <r>
      <rPr>
        <color indexed="12"/>
        <sz val="11.0"/>
        <rFont val="Calibri"/>
      </rPr>
      <t>2-首页场景入口（Scenario-based Entry Cards）</t>
    </r>
  </si>
  <si>
    <t xml:space="preserve"> 作为 &lt;用户角色&gt;
 我想要 &lt;结果&gt;
 以便于 &lt;目的&gt;通过 6 大卡片形式的场景入口，引导用户从“不会问 → 会问”，帮助用户快速找到需要提问的方向，提升使用门槛体验。6 大场景：选股票诊股票看宏观看大势读新闻查数据覆盖能力：首页入口卡片显示卡片点击触发对应场景的提示文案 / 示例问题无需对话即可开始场景化查询</t>
  </si>
  <si>
    <r>
      <rPr>
        <color indexed="12"/>
        <sz val="11.0"/>
        <rFont val="Calibri"/>
      </rPr>
      <t>2025/12/01 15:03:55 GMT+08:00</t>
    </r>
  </si>
  <si>
    <r>
      <rPr>
        <color indexed="12"/>
        <sz val="11.0"/>
        <rFont val="Calibri"/>
      </rPr>
      <t>2025/12/01 15:28:37 GMT+08:00</t>
    </r>
  </si>
  <si>
    <r>
      <rPr>
        <color indexed="12"/>
        <sz val="11.0"/>
        <rFont val="Calibri"/>
      </rPr>
      <t xml:space="preserve">    2.1-场景入口展示</t>
    </r>
  </si>
  <si>
    <r>
      <rPr>
        <color indexed="12"/>
        <sz val="11.0"/>
        <rFont val="Calibri"/>
      </rPr>
      <t>2025/12/01 15:39:26 GMT+08:00</t>
    </r>
  </si>
  <si>
    <r>
      <rPr>
        <color indexed="12"/>
        <sz val="11.0"/>
        <rFont val="Calibri"/>
      </rPr>
      <t>2025/12/01 17:59:46 GMT+08:00</t>
    </r>
  </si>
  <si>
    <r>
      <rPr>
        <color indexed="12"/>
        <sz val="11.0"/>
        <rFont val="Calibri"/>
      </rPr>
      <t xml:space="preserve">        2.1.1-首页展示六类场景卡片</t>
    </r>
  </si>
  <si>
    <t xml:space="preserve"> 作为 &lt;用户角色&gt;
 我想要 &lt;结果&gt;
 以便于 &lt;目的&gt; 
作为一个不知道如何开始提问的用户， 我希望首页能展示六个场景入口（选股票、诊股票、看宏观等）， 以便我快速找到我要查询的方向。</t>
  </si>
  <si>
    <r>
      <rPr>
        <color indexed="12"/>
        <sz val="11.0"/>
        <rFont val="Calibri"/>
      </rPr>
      <t>2025/12/01 15:39:34 GMT+08:00</t>
    </r>
  </si>
  <si>
    <r>
      <rPr>
        <color indexed="12"/>
        <sz val="11.0"/>
        <rFont val="Calibri"/>
      </rPr>
      <t>2025/12/01 18:00:39 GMT+08:00</t>
    </r>
  </si>
  <si>
    <r>
      <rPr>
        <color indexed="12"/>
        <sz val="11.0"/>
        <rFont val="Calibri"/>
      </rPr>
      <t xml:space="preserve">    2.2-场景触发（Scenario Trigger）</t>
    </r>
  </si>
  <si>
    <r>
      <rPr>
        <color indexed="12"/>
        <sz val="11.0"/>
        <rFont val="Calibri"/>
      </rPr>
      <t>2025/12/01 15:39:32 GMT+08:00</t>
    </r>
  </si>
  <si>
    <r>
      <rPr>
        <color indexed="12"/>
        <sz val="11.0"/>
        <rFont val="Calibri"/>
      </rPr>
      <t>2025/12/01 18:00:04 GMT+08:00</t>
    </r>
  </si>
  <si>
    <r>
      <rPr>
        <color indexed="12"/>
        <sz val="11.0"/>
        <rFont val="Calibri"/>
      </rPr>
      <t xml:space="preserve">        2.2.1-点选卡片自动生成示例问题</t>
    </r>
  </si>
  <si>
    <t xml:space="preserve"> 作为 &lt;用户角色&gt;
 我想要 &lt;结果&gt;
 以便于 &lt;目的&gt; 
 作为一个用户， 我希望点击场景卡片后自动填充示例问题， 以便我能够更快地进行查询。</t>
  </si>
  <si>
    <r>
      <rPr>
        <color indexed="12"/>
        <sz val="11.0"/>
        <rFont val="Calibri"/>
      </rPr>
      <t>2025/12/01 15:39:35 GMT+08:00</t>
    </r>
  </si>
  <si>
    <r>
      <rPr>
        <color indexed="12"/>
        <sz val="11.0"/>
        <rFont val="Calibri"/>
      </rPr>
      <t>2025/12/01 18:01:21 GMT+08:00</t>
    </r>
  </si>
  <si>
    <r>
      <rPr>
        <color indexed="12"/>
        <sz val="11.0"/>
        <rFont val="Calibri"/>
      </rPr>
      <t xml:space="preserve">        2.2.2-不同卡片触发不同工作流参数</t>
    </r>
  </si>
  <si>
    <t xml:space="preserve"> 作为 &lt;用户角色&gt;
 我想要 &lt;结果&gt;
 以便于 &lt;目的&gt; 
作为系统工作流设计者， 我希望每个卡片都能触发不同的场景参数， 以便工作流能进入正确的查询流程。</t>
  </si>
  <si>
    <r>
      <rPr>
        <color indexed="12"/>
        <sz val="11.0"/>
        <rFont val="Calibri"/>
      </rPr>
      <t>2025/12/01 15:39:36 GMT+08:00</t>
    </r>
  </si>
  <si>
    <r>
      <rPr>
        <color indexed="12"/>
        <sz val="11.0"/>
        <rFont val="Calibri"/>
      </rPr>
      <t>2025/12/01 18:01:49 GMT+08:00</t>
    </r>
  </si>
  <si>
    <r>
      <rPr>
        <color indexed="12"/>
        <sz val="11.0"/>
        <rFont val="Calibri"/>
      </rPr>
      <t>1-用户访客模式与会话管理 用户访客模式与会话管理（Guest Session &amp; Temporary Identity）</t>
    </r>
  </si>
  <si>
    <t xml:space="preserve"> 作为 &lt;用户角色&gt;
 我想要 &lt;结果&gt;
 以便于 &lt;目的&gt;
让用户无需注册即可使用页面，通过临时ID或者自定义昵称登录，并短暂保留其对话历史记录（如3-7天），以支持连续体验
覆盖能力：临时用户进入（自动生成 ID 或输入昵称）轻量登录流程（非注册）会话状态保持对话历史的短期保留
</t>
  </si>
  <si>
    <r>
      <rPr>
        <color indexed="12"/>
        <sz val="11.0"/>
        <rFont val="Calibri"/>
      </rPr>
      <t>2025/12/01 15:00:24 GMT+08:00</t>
    </r>
  </si>
  <si>
    <r>
      <rPr>
        <color indexed="12"/>
        <sz val="11.0"/>
        <rFont val="Calibri"/>
      </rPr>
      <t>2025/12/01 15:31:13 GMT+08:00</t>
    </r>
  </si>
  <si>
    <r>
      <rPr>
        <color indexed="12"/>
        <sz val="11.0"/>
        <rFont val="Calibri"/>
      </rPr>
      <t xml:space="preserve">    1.1-临时用户创建（Guest User Creation）</t>
    </r>
  </si>
  <si>
    <t xml:space="preserve"> 作为 &lt;用户角色&gt;
 我想要 &lt;结果&gt;
 以便于 &lt;目的&gt; 
</t>
  </si>
  <si>
    <r>
      <rPr>
        <color indexed="12"/>
        <sz val="11.0"/>
        <rFont val="Calibri"/>
      </rPr>
      <t>2025/12/01 15:32:24 GMT+08:00</t>
    </r>
  </si>
  <si>
    <r>
      <rPr>
        <color indexed="12"/>
        <sz val="11.0"/>
        <rFont val="Calibri"/>
      </rPr>
      <t>2025/12/01 15:33:24 GMT+08:00</t>
    </r>
  </si>
  <si>
    <r>
      <rPr>
        <color indexed="12"/>
        <sz val="11.0"/>
        <rFont val="Calibri"/>
      </rPr>
      <t xml:space="preserve">        1.1.1-自动生成临时 ID</t>
    </r>
  </si>
  <si>
    <t xml:space="preserve"> 作为 &lt;用户角色&gt;
 我想要 &lt;结果&gt;
 以便于 &lt;目的&gt; 
 作为一个首次访问的用户， 我希望系统自动为我生成一个临时 ID， 以便我无需注册即可开始使用产品。</t>
  </si>
  <si>
    <r>
      <rPr>
        <color indexed="12"/>
        <sz val="11.0"/>
        <rFont val="Calibri"/>
      </rPr>
      <t>2025/12/01 15:33:31 GMT+08:00</t>
    </r>
  </si>
  <si>
    <r>
      <rPr>
        <color indexed="12"/>
        <sz val="11.0"/>
        <rFont val="Calibri"/>
      </rPr>
      <t>2025/12/01 15:34:22 GMT+08:00</t>
    </r>
  </si>
  <si>
    <r>
      <rPr>
        <color indexed="12"/>
        <sz val="11.0"/>
        <rFont val="Calibri"/>
      </rPr>
      <t xml:space="preserve">        1.1.2-用户可输入昵称（可选）</t>
    </r>
  </si>
  <si>
    <r>
      <rPr>
        <color indexed="12"/>
        <sz val="11.0"/>
        <rFont val="Calibri"/>
      </rPr>
      <t>2025/12/01 15:34:41 GMT+08:00</t>
    </r>
  </si>
  <si>
    <r>
      <rPr>
        <color indexed="12"/>
        <sz val="11.0"/>
        <rFont val="Calibri"/>
      </rPr>
      <t>2025/12/01 15:34:55 GMT+08:00</t>
    </r>
  </si>
  <si>
    <r>
      <rPr>
        <color indexed="12"/>
        <sz val="11.0"/>
        <rFont val="Calibri"/>
      </rPr>
      <t xml:space="preserve">    1.2-会话状态持久化（Session Persistence）</t>
    </r>
  </si>
  <si>
    <r>
      <rPr>
        <color indexed="12"/>
        <sz val="11.0"/>
        <rFont val="Calibri"/>
      </rPr>
      <t>2025/12/01 15:35:11 GMT+08:00</t>
    </r>
  </si>
  <si>
    <r>
      <rPr>
        <color indexed="12"/>
        <sz val="11.0"/>
        <rFont val="Calibri"/>
      </rPr>
      <t>2025/12/01 15:36:33 GMT+08:00</t>
    </r>
  </si>
  <si>
    <r>
      <rPr>
        <color indexed="12"/>
        <sz val="11.0"/>
        <rFont val="Calibri"/>
      </rPr>
      <t xml:space="preserve">        1.2.1-保留最近的对话历史</t>
    </r>
  </si>
  <si>
    <t xml:space="preserve"> 作为 &lt;用户角色&gt;
 我想要 &lt;结果&gt;
 以便于 &lt;目的&gt; 
 作为一个用户， 我希望系统能暂时保存我的对话历史（例如 3–7 天）， 以便我下次回来时可以继续先前的对话。</t>
  </si>
  <si>
    <r>
      <rPr>
        <color indexed="12"/>
        <sz val="11.0"/>
        <rFont val="Calibri"/>
      </rPr>
      <t>2025/12/01 15:37:26 GMT+08:00</t>
    </r>
  </si>
  <si>
    <r>
      <rPr>
        <color indexed="12"/>
        <sz val="11.0"/>
        <rFont val="Calibri"/>
      </rPr>
      <t>2025/12/01 15:38:06 GMT+08:00</t>
    </r>
  </si>
  <si>
    <r>
      <rPr>
        <color indexed="12"/>
        <sz val="11.0"/>
        <rFont val="Calibri"/>
      </rPr>
      <t xml:space="preserve">        1.2.2-同一临时账号下可查看所有会话</t>
    </r>
  </si>
  <si>
    <t xml:space="preserve"> 作为 &lt;用户角色&gt;
 我想要 &lt;结果&gt;
 以便于 &lt;目的&gt; 
 作为一个用户， 我希望能够查看我之前的所有会话， 以便我能回顾之前问过的问题。</t>
  </si>
  <si>
    <r>
      <rPr>
        <color indexed="12"/>
        <sz val="11.0"/>
        <rFont val="Calibri"/>
      </rPr>
      <t>2025/12/01 15:38:28 GMT+08:00</t>
    </r>
  </si>
  <si>
    <r>
      <rPr>
        <color indexed="12"/>
        <sz val="11.0"/>
        <rFont val="Calibri"/>
      </rPr>
      <t>2025/12/01 15:39:00 GMT+08:00</t>
    </r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</si>
</sst>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color indexed="20"/>
      <b val="true"/>
    </font>
    <font>
      <name val="Calibri"/>
      <sz val="11.0"/>
    </font>
    <font>
      <name val="Calibri"/>
      <sz val="11.0"/>
      <u val="single"/>
      <color indexed="12"/>
    </font>
    <font>
      <name val="Calibri"/>
      <sz val="11.0"/>
      <color indexed="12"/>
    </font>
    <font>
      <name val="Calibri"/>
      <sz val="11.0"/>
      <color indexed="12"/>
      <u val="single"/>
    </font>
    <font>
      <name val="Calibri"/>
      <sz val="11.0"/>
      <u val="single"/>
      <color indexed="12"/>
    </font>
  </fonts>
  <fills count="6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49" fontId="1" fillId="3" borderId="4" xfId="0" applyNumberFormat="true" applyFill="true" applyBorder="true" applyAlignment="true" applyFont="true">
      <alignment horizontal="center" wrapText="true"/>
    </xf>
    <xf numFmtId="49" fontId="2" fillId="5" borderId="4" xfId="0" applyNumberFormat="true" applyFill="true" applyBorder="true" applyAlignment="true" applyFont="true">
      <alignment horizontal="left" vertical="center" wrapText="true"/>
    </xf>
    <xf numFmtId="2" fontId="2" fillId="5" borderId="4" xfId="0" applyNumberFormat="true" applyFill="true" applyBorder="true" applyAlignment="true" applyFont="true">
      <alignment horizontal="left" vertical="center" wrapText="true"/>
    </xf>
    <xf numFmtId="1" fontId="2" fillId="5" borderId="4" xfId="0" applyNumberFormat="true" applyFill="true" applyBorder="true" applyAlignment="true" applyFont="true">
      <alignment horizontal="left" vertical="center" wrapText="true"/>
    </xf>
    <xf numFmtId="0" fontId="6" fillId="5" borderId="4" xfId="0" applyFill="true" applyBorder="true" applyAlignment="true" applyFont="true">
      <alignment horizontal="left" vertical="center"/>
    </xf>
    <xf numFmtId="0" fontId="3" fillId="5" borderId="4" xfId="0" applyFont="true" applyFill="true" applyBorder="true" applyAlignment="true">
      <alignment horizontal="left" vertical="center"/>
    </xf>
    <xf numFmtId="9" fontId="2" fillId="5" borderId="4" xfId="0" applyNumberFormat="true" applyFill="true" applyBorder="true" applyAlignment="true" applyFo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3"/>
  <sheetViews>
    <sheetView workbookViewId="0" tabSelected="true"/>
  </sheetViews>
  <sheetFormatPr defaultRowHeight="15.0" baseColWidth="16"/>
  <sheetData>
    <row r="1" ht="30.0" customHeight="tru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ht="12.75" customHeight="true">
      <c r="A2" s="2" t="s">
        <v>32</v>
      </c>
      <c r="B2" s="2" t="s">
        <v>33</v>
      </c>
      <c r="C2" s="5" t="str">
        <f>HYPERLINK("https://devcloud.cn-east-3.huaweicloud.com/projectman/scrum/056d9f51d521446da601fbbae99d32c2/task/detail/713216978","713216978")</f>
        <v>713216978</v>
      </c>
      <c r="D2" s="2"/>
      <c r="E2" s="2" t="s">
        <v>0</v>
      </c>
      <c r="F2" s="2" t="s">
        <v>0</v>
      </c>
      <c r="G2" s="4" t="n">
        <v>1.0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0</v>
      </c>
      <c r="M2" s="2"/>
      <c r="N2" s="2" t="s">
        <v>0</v>
      </c>
      <c r="O2" s="2" t="s">
        <v>0</v>
      </c>
      <c r="P2" s="2" t="s">
        <v>0</v>
      </c>
      <c r="Q2" s="3" t="n">
        <v>0.0</v>
      </c>
      <c r="R2" s="3" t="n">
        <v>0.0</v>
      </c>
      <c r="S2" s="2" t="s">
        <v>0</v>
      </c>
      <c r="T2" s="7" t="n">
        <v>0.0</v>
      </c>
      <c r="U2" s="2" t="s">
        <v>38</v>
      </c>
      <c r="V2" s="2"/>
      <c r="W2" s="2" t="s">
        <v>38</v>
      </c>
      <c r="X2" s="2"/>
      <c r="Y2" s="2" t="s">
        <v>39</v>
      </c>
      <c r="Z2" s="2" t="s">
        <v>40</v>
      </c>
      <c r="AA2" s="2"/>
      <c r="AB2" s="2" t="s">
        <v>41</v>
      </c>
      <c r="AC2" s="2" t="s">
        <v>42</v>
      </c>
      <c r="AD2" s="3" t="n">
        <v>7.13216978E8</v>
      </c>
      <c r="AE2" s="2" t="s">
        <v>0</v>
      </c>
    </row>
    <row r="3" ht="12.75" customHeight="true">
      <c r="A3" s="2" t="s">
        <v>43</v>
      </c>
      <c r="B3" s="2" t="s">
        <v>44</v>
      </c>
      <c r="C3" s="5" t="str">
        <f>HYPERLINK("https://devcloud.cn-east-3.huaweicloud.com/projectman/scrum/056d9f51d521446da601fbbae99d32c2/task/detail/713217100","713217100")</f>
        <v>713217100</v>
      </c>
      <c r="D3" s="4" t="n">
        <v>7.13216978E8</v>
      </c>
      <c r="E3" s="2" t="s">
        <v>0</v>
      </c>
      <c r="F3" s="2" t="s">
        <v>0</v>
      </c>
      <c r="G3" s="4" t="n">
        <v>1.0</v>
      </c>
      <c r="H3" s="2" t="s">
        <v>34</v>
      </c>
      <c r="I3" s="2" t="s">
        <v>35</v>
      </c>
      <c r="J3" s="2" t="s">
        <v>36</v>
      </c>
      <c r="K3" s="2" t="s">
        <v>45</v>
      </c>
      <c r="L3" s="2" t="s">
        <v>0</v>
      </c>
      <c r="M3" s="2"/>
      <c r="N3" s="2" t="s">
        <v>0</v>
      </c>
      <c r="O3" s="2" t="s">
        <v>0</v>
      </c>
      <c r="P3" s="2" t="s">
        <v>0</v>
      </c>
      <c r="Q3" s="3" t="n">
        <v>0.0</v>
      </c>
      <c r="R3" s="3" t="n">
        <v>0.0</v>
      </c>
      <c r="S3" s="2" t="s">
        <v>0</v>
      </c>
      <c r="T3" s="7" t="n">
        <v>0.0</v>
      </c>
      <c r="U3" s="2" t="s">
        <v>38</v>
      </c>
      <c r="V3" s="2"/>
      <c r="W3" s="2" t="s">
        <v>38</v>
      </c>
      <c r="X3" s="2"/>
      <c r="Y3" s="2" t="s">
        <v>46</v>
      </c>
      <c r="Z3" s="2" t="s">
        <v>47</v>
      </c>
      <c r="AA3" s="2" t="s">
        <v>0</v>
      </c>
      <c r="AB3" s="2" t="s">
        <v>0</v>
      </c>
      <c r="AC3" s="2" t="s">
        <v>0</v>
      </c>
      <c r="AD3" s="3" t="n">
        <v>7.132171E8</v>
      </c>
      <c r="AE3" s="2" t="s">
        <v>0</v>
      </c>
    </row>
    <row r="4" ht="12.75" customHeight="true">
      <c r="A4" s="2" t="s">
        <v>43</v>
      </c>
      <c r="B4" s="2" t="s">
        <v>48</v>
      </c>
      <c r="C4" s="5" t="str">
        <f>HYPERLINK("https://devcloud.cn-east-3.huaweicloud.com/projectman/scrum/056d9f51d521446da601fbbae99d32c2/task/detail/713217101","713217101")</f>
        <v>713217101</v>
      </c>
      <c r="D4" s="4" t="n">
        <v>7.13216978E8</v>
      </c>
      <c r="E4" s="2" t="s">
        <v>0</v>
      </c>
      <c r="F4" s="2" t="s">
        <v>0</v>
      </c>
      <c r="G4" s="4" t="n">
        <v>1.0</v>
      </c>
      <c r="H4" s="2" t="s">
        <v>34</v>
      </c>
      <c r="I4" s="2" t="s">
        <v>35</v>
      </c>
      <c r="J4" s="2" t="s">
        <v>36</v>
      </c>
      <c r="K4" s="2" t="s">
        <v>49</v>
      </c>
      <c r="L4" s="2" t="s">
        <v>0</v>
      </c>
      <c r="M4" s="2"/>
      <c r="N4" s="2" t="s">
        <v>0</v>
      </c>
      <c r="O4" s="2" t="s">
        <v>0</v>
      </c>
      <c r="P4" s="2" t="s">
        <v>0</v>
      </c>
      <c r="Q4" s="3" t="n">
        <v>0.0</v>
      </c>
      <c r="R4" s="3" t="n">
        <v>0.0</v>
      </c>
      <c r="S4" s="2" t="s">
        <v>0</v>
      </c>
      <c r="T4" s="7" t="n">
        <v>0.0</v>
      </c>
      <c r="U4" s="2" t="s">
        <v>38</v>
      </c>
      <c r="V4" s="2"/>
      <c r="W4" s="2" t="s">
        <v>38</v>
      </c>
      <c r="X4" s="2"/>
      <c r="Y4" s="2" t="s">
        <v>50</v>
      </c>
      <c r="Z4" s="2" t="s">
        <v>51</v>
      </c>
      <c r="AA4" s="2" t="s">
        <v>0</v>
      </c>
      <c r="AB4" s="2" t="s">
        <v>0</v>
      </c>
      <c r="AC4" s="2" t="s">
        <v>0</v>
      </c>
      <c r="AD4" s="3" t="n">
        <v>7.13217101E8</v>
      </c>
      <c r="AE4" s="2" t="s">
        <v>0</v>
      </c>
    </row>
    <row r="5" ht="12.75" customHeight="true">
      <c r="A5" s="2" t="s">
        <v>43</v>
      </c>
      <c r="B5" s="2" t="s">
        <v>52</v>
      </c>
      <c r="C5" s="5" t="str">
        <f>HYPERLINK("https://devcloud.cn-east-3.huaweicloud.com/projectman/scrum/056d9f51d521446da601fbbae99d32c2/task/detail/713217102","713217102")</f>
        <v>713217102</v>
      </c>
      <c r="D5" s="4" t="n">
        <v>7.13216978E8</v>
      </c>
      <c r="E5" s="2" t="s">
        <v>0</v>
      </c>
      <c r="F5" s="2" t="s">
        <v>0</v>
      </c>
      <c r="G5" s="4" t="n">
        <v>1.0</v>
      </c>
      <c r="H5" s="2" t="s">
        <v>34</v>
      </c>
      <c r="I5" s="2" t="s">
        <v>35</v>
      </c>
      <c r="J5" s="2" t="s">
        <v>36</v>
      </c>
      <c r="K5" s="2" t="s">
        <v>53</v>
      </c>
      <c r="L5" s="2" t="s">
        <v>0</v>
      </c>
      <c r="M5" s="2"/>
      <c r="N5" s="2" t="s">
        <v>0</v>
      </c>
      <c r="O5" s="2" t="s">
        <v>0</v>
      </c>
      <c r="P5" s="2" t="s">
        <v>0</v>
      </c>
      <c r="Q5" s="3" t="n">
        <v>0.0</v>
      </c>
      <c r="R5" s="3" t="n">
        <v>0.0</v>
      </c>
      <c r="S5" s="2" t="s">
        <v>0</v>
      </c>
      <c r="T5" s="7" t="n">
        <v>0.0</v>
      </c>
      <c r="U5" s="2" t="s">
        <v>38</v>
      </c>
      <c r="V5" s="2"/>
      <c r="W5" s="2" t="s">
        <v>38</v>
      </c>
      <c r="X5" s="2"/>
      <c r="Y5" s="2" t="s">
        <v>50</v>
      </c>
      <c r="Z5" s="2" t="s">
        <v>54</v>
      </c>
      <c r="AA5" s="2" t="s">
        <v>0</v>
      </c>
      <c r="AB5" s="2" t="s">
        <v>0</v>
      </c>
      <c r="AC5" s="2" t="s">
        <v>0</v>
      </c>
      <c r="AD5" s="3" t="n">
        <v>7.13217102E8</v>
      </c>
      <c r="AE5" s="2" t="s">
        <v>0</v>
      </c>
    </row>
    <row r="6" ht="12.75" customHeight="true">
      <c r="A6" s="2" t="s">
        <v>43</v>
      </c>
      <c r="B6" s="2" t="s">
        <v>55</v>
      </c>
      <c r="C6" s="5" t="str">
        <f>HYPERLINK("https://devcloud.cn-east-3.huaweicloud.com/projectman/scrum/056d9f51d521446da601fbbae99d32c2/task/detail/713217103","713217103")</f>
        <v>713217103</v>
      </c>
      <c r="D6" s="4" t="n">
        <v>7.13216978E8</v>
      </c>
      <c r="E6" s="2" t="s">
        <v>0</v>
      </c>
      <c r="F6" s="2" t="s">
        <v>0</v>
      </c>
      <c r="G6" s="4" t="n">
        <v>1.0</v>
      </c>
      <c r="H6" s="2" t="s">
        <v>34</v>
      </c>
      <c r="I6" s="2" t="s">
        <v>35</v>
      </c>
      <c r="J6" s="2" t="s">
        <v>36</v>
      </c>
      <c r="K6" s="2" t="s">
        <v>56</v>
      </c>
      <c r="L6" s="2" t="s">
        <v>0</v>
      </c>
      <c r="M6" s="2"/>
      <c r="N6" s="2" t="s">
        <v>0</v>
      </c>
      <c r="O6" s="2" t="s">
        <v>0</v>
      </c>
      <c r="P6" s="2" t="s">
        <v>0</v>
      </c>
      <c r="Q6" s="3" t="n">
        <v>0.0</v>
      </c>
      <c r="R6" s="3" t="n">
        <v>0.0</v>
      </c>
      <c r="S6" s="2" t="s">
        <v>0</v>
      </c>
      <c r="T6" s="7" t="n">
        <v>0.0</v>
      </c>
      <c r="U6" s="2" t="s">
        <v>38</v>
      </c>
      <c r="V6" s="2"/>
      <c r="W6" s="2" t="s">
        <v>38</v>
      </c>
      <c r="X6" s="2"/>
      <c r="Y6" s="2" t="s">
        <v>57</v>
      </c>
      <c r="Z6" s="2" t="s">
        <v>58</v>
      </c>
      <c r="AA6" s="2" t="s">
        <v>0</v>
      </c>
      <c r="AB6" s="2" t="s">
        <v>0</v>
      </c>
      <c r="AC6" s="2" t="s">
        <v>0</v>
      </c>
      <c r="AD6" s="3" t="n">
        <v>7.13217103E8</v>
      </c>
      <c r="AE6" s="2" t="s">
        <v>0</v>
      </c>
    </row>
    <row r="7" ht="12.75" customHeight="true">
      <c r="A7" s="2" t="s">
        <v>43</v>
      </c>
      <c r="B7" s="2" t="s">
        <v>59</v>
      </c>
      <c r="C7" s="5" t="str">
        <f>HYPERLINK("https://devcloud.cn-east-3.huaweicloud.com/projectman/scrum/056d9f51d521446da601fbbae99d32c2/task/detail/713217495","713217495")</f>
        <v>713217495</v>
      </c>
      <c r="D7" s="4" t="n">
        <v>7.13216978E8</v>
      </c>
      <c r="E7" s="2" t="s">
        <v>0</v>
      </c>
      <c r="F7" s="2" t="s">
        <v>0</v>
      </c>
      <c r="G7" s="4" t="n">
        <v>1.0</v>
      </c>
      <c r="H7" s="2" t="s">
        <v>34</v>
      </c>
      <c r="I7" s="2" t="s">
        <v>35</v>
      </c>
      <c r="J7" s="2" t="s">
        <v>36</v>
      </c>
      <c r="K7" s="2" t="s">
        <v>60</v>
      </c>
      <c r="L7" s="2" t="s">
        <v>0</v>
      </c>
      <c r="M7" s="2"/>
      <c r="N7" s="2" t="s">
        <v>0</v>
      </c>
      <c r="O7" s="2" t="s">
        <v>0</v>
      </c>
      <c r="P7" s="2" t="s">
        <v>0</v>
      </c>
      <c r="Q7" s="3" t="n">
        <v>0.0</v>
      </c>
      <c r="R7" s="3" t="n">
        <v>0.0</v>
      </c>
      <c r="S7" s="2" t="s">
        <v>0</v>
      </c>
      <c r="T7" s="7" t="n">
        <v>0.0</v>
      </c>
      <c r="U7" s="2" t="s">
        <v>61</v>
      </c>
      <c r="V7" s="2"/>
      <c r="W7" s="2" t="s">
        <v>61</v>
      </c>
      <c r="X7" s="2"/>
      <c r="Y7" s="2" t="s">
        <v>62</v>
      </c>
      <c r="Z7" s="2" t="s">
        <v>63</v>
      </c>
      <c r="AA7" s="2" t="s">
        <v>0</v>
      </c>
      <c r="AB7" s="2" t="s">
        <v>41</v>
      </c>
      <c r="AC7" s="2" t="s">
        <v>42</v>
      </c>
      <c r="AD7" s="3" t="n">
        <v>7.13217495E8</v>
      </c>
      <c r="AE7" s="2" t="s">
        <v>0</v>
      </c>
    </row>
    <row r="8" ht="12.75" customHeight="true">
      <c r="A8" s="2" t="s">
        <v>32</v>
      </c>
      <c r="B8" s="2" t="s">
        <v>64</v>
      </c>
      <c r="C8" s="5" t="str">
        <f>HYPERLINK("https://devcloud.cn-east-3.huaweicloud.com/projectman/scrum/056d9f51d521446da601fbbae99d32c2/task/detail/713216972","713216972")</f>
        <v>713216972</v>
      </c>
      <c r="D8" s="2"/>
      <c r="E8" s="2" t="s">
        <v>0</v>
      </c>
      <c r="F8" s="2" t="s">
        <v>0</v>
      </c>
      <c r="G8" s="4" t="n">
        <v>1.0</v>
      </c>
      <c r="H8" s="2" t="s">
        <v>34</v>
      </c>
      <c r="I8" s="2" t="s">
        <v>35</v>
      </c>
      <c r="J8" s="2" t="s">
        <v>36</v>
      </c>
      <c r="K8" s="2" t="s">
        <v>65</v>
      </c>
      <c r="L8" s="2" t="s">
        <v>0</v>
      </c>
      <c r="M8" s="2"/>
      <c r="N8" s="2" t="s">
        <v>0</v>
      </c>
      <c r="O8" s="2" t="s">
        <v>0</v>
      </c>
      <c r="P8" s="2" t="s">
        <v>0</v>
      </c>
      <c r="Q8" s="3" t="n">
        <v>0.0</v>
      </c>
      <c r="R8" s="3" t="n">
        <v>0.0</v>
      </c>
      <c r="S8" s="2" t="s">
        <v>0</v>
      </c>
      <c r="T8" s="7" t="n">
        <v>0.0</v>
      </c>
      <c r="U8" s="2" t="s">
        <v>38</v>
      </c>
      <c r="V8" s="2"/>
      <c r="W8" s="2" t="s">
        <v>38</v>
      </c>
      <c r="X8" s="2"/>
      <c r="Y8" s="2" t="s">
        <v>66</v>
      </c>
      <c r="Z8" s="2" t="s">
        <v>67</v>
      </c>
      <c r="AA8" s="2"/>
      <c r="AB8" s="2" t="s">
        <v>41</v>
      </c>
      <c r="AC8" s="2" t="s">
        <v>42</v>
      </c>
      <c r="AD8" s="3" t="n">
        <v>7.13216972E8</v>
      </c>
      <c r="AE8" s="2" t="s">
        <v>0</v>
      </c>
    </row>
    <row r="9" ht="12.75" customHeight="true">
      <c r="A9" s="2" t="s">
        <v>43</v>
      </c>
      <c r="B9" s="2" t="s">
        <v>68</v>
      </c>
      <c r="C9" s="5" t="str">
        <f>HYPERLINK("https://devcloud.cn-east-3.huaweicloud.com/projectman/scrum/056d9f51d521446da601fbbae99d32c2/task/detail/713217088","713217088")</f>
        <v>713217088</v>
      </c>
      <c r="D9" s="4" t="n">
        <v>7.13216972E8</v>
      </c>
      <c r="E9" s="2" t="s">
        <v>0</v>
      </c>
      <c r="F9" s="2" t="s">
        <v>0</v>
      </c>
      <c r="G9" s="4" t="n">
        <v>1.0</v>
      </c>
      <c r="H9" s="2" t="s">
        <v>34</v>
      </c>
      <c r="I9" s="2" t="s">
        <v>35</v>
      </c>
      <c r="J9" s="2" t="s">
        <v>36</v>
      </c>
      <c r="K9" s="2" t="s">
        <v>69</v>
      </c>
      <c r="L9" s="2" t="s">
        <v>0</v>
      </c>
      <c r="M9" s="2"/>
      <c r="N9" s="2" t="s">
        <v>0</v>
      </c>
      <c r="O9" s="2" t="s">
        <v>0</v>
      </c>
      <c r="P9" s="2" t="s">
        <v>0</v>
      </c>
      <c r="Q9" s="3" t="n">
        <v>0.0</v>
      </c>
      <c r="R9" s="3" t="n">
        <v>0.0</v>
      </c>
      <c r="S9" s="2" t="s">
        <v>0</v>
      </c>
      <c r="T9" s="7" t="n">
        <v>0.0</v>
      </c>
      <c r="U9" s="2" t="s">
        <v>38</v>
      </c>
      <c r="V9" s="2"/>
      <c r="W9" s="2" t="s">
        <v>38</v>
      </c>
      <c r="X9" s="2"/>
      <c r="Y9" s="2" t="s">
        <v>70</v>
      </c>
      <c r="Z9" s="2" t="s">
        <v>71</v>
      </c>
      <c r="AA9" s="2" t="s">
        <v>0</v>
      </c>
      <c r="AB9" s="2" t="s">
        <v>0</v>
      </c>
      <c r="AC9" s="2" t="s">
        <v>0</v>
      </c>
      <c r="AD9" s="3" t="n">
        <v>7.13217088E8</v>
      </c>
      <c r="AE9" s="2" t="s">
        <v>0</v>
      </c>
    </row>
    <row r="10" ht="12.75" customHeight="true">
      <c r="A10" s="2" t="s">
        <v>72</v>
      </c>
      <c r="B10" s="2" t="s">
        <v>73</v>
      </c>
      <c r="C10" s="5" t="str">
        <f>HYPERLINK("https://devcloud.cn-east-3.huaweicloud.com/projectman/scrum/056d9f51d521446da601fbbae99d32c2/task/detail/713217092","713217092")</f>
        <v>713217092</v>
      </c>
      <c r="D10" s="4" t="n">
        <v>7.13217088E8</v>
      </c>
      <c r="E10" s="2" t="s">
        <v>0</v>
      </c>
      <c r="F10" s="2" t="s">
        <v>0</v>
      </c>
      <c r="G10" s="4" t="n">
        <v>1.0</v>
      </c>
      <c r="H10" s="2" t="s">
        <v>34</v>
      </c>
      <c r="I10" s="2" t="s">
        <v>35</v>
      </c>
      <c r="J10" s="2" t="s">
        <v>36</v>
      </c>
      <c r="K10" s="2" t="s">
        <v>74</v>
      </c>
      <c r="L10" s="2" t="s">
        <v>0</v>
      </c>
      <c r="M10" s="2"/>
      <c r="N10" s="2" t="s">
        <v>0</v>
      </c>
      <c r="O10" s="2" t="s">
        <v>0</v>
      </c>
      <c r="P10" s="2" t="s">
        <v>0</v>
      </c>
      <c r="Q10" s="3" t="n">
        <v>0.0</v>
      </c>
      <c r="R10" s="3" t="n">
        <v>0.0</v>
      </c>
      <c r="S10" s="4" t="n">
        <v>1.0</v>
      </c>
      <c r="T10" s="7" t="n">
        <v>0.0</v>
      </c>
      <c r="U10" s="2" t="s">
        <v>38</v>
      </c>
      <c r="V10" s="2"/>
      <c r="W10" s="2" t="s">
        <v>38</v>
      </c>
      <c r="X10" s="2"/>
      <c r="Y10" s="2" t="s">
        <v>75</v>
      </c>
      <c r="Z10" s="2" t="s">
        <v>76</v>
      </c>
      <c r="AA10" s="2" t="s">
        <v>0</v>
      </c>
      <c r="AB10" s="2" t="s">
        <v>0</v>
      </c>
      <c r="AC10" s="2" t="s">
        <v>0</v>
      </c>
      <c r="AD10" s="3" t="n">
        <v>7.13217092E8</v>
      </c>
      <c r="AE10" s="2" t="s">
        <v>0</v>
      </c>
    </row>
    <row r="11" ht="12.75" customHeight="true">
      <c r="A11" s="2" t="s">
        <v>72</v>
      </c>
      <c r="B11" s="2" t="s">
        <v>77</v>
      </c>
      <c r="C11" s="5" t="str">
        <f>HYPERLINK("https://devcloud.cn-east-3.huaweicloud.com/projectman/scrum/056d9f51d521446da601fbbae99d32c2/task/detail/713217093","713217093")</f>
        <v>713217093</v>
      </c>
      <c r="D11" s="4" t="n">
        <v>7.13217088E8</v>
      </c>
      <c r="E11" s="2" t="s">
        <v>0</v>
      </c>
      <c r="F11" s="2" t="s">
        <v>0</v>
      </c>
      <c r="G11" s="4" t="n">
        <v>1.0</v>
      </c>
      <c r="H11" s="2" t="s">
        <v>34</v>
      </c>
      <c r="I11" s="2" t="s">
        <v>35</v>
      </c>
      <c r="J11" s="2" t="s">
        <v>36</v>
      </c>
      <c r="K11" s="2" t="s">
        <v>78</v>
      </c>
      <c r="L11" s="2" t="s">
        <v>0</v>
      </c>
      <c r="M11" s="2"/>
      <c r="N11" s="2" t="s">
        <v>0</v>
      </c>
      <c r="O11" s="2" t="s">
        <v>0</v>
      </c>
      <c r="P11" s="2" t="s">
        <v>0</v>
      </c>
      <c r="Q11" s="3" t="n">
        <v>0.0</v>
      </c>
      <c r="R11" s="3" t="n">
        <v>0.0</v>
      </c>
      <c r="S11" s="4" t="n">
        <v>1.0</v>
      </c>
      <c r="T11" s="7" t="n">
        <v>0.0</v>
      </c>
      <c r="U11" s="2" t="s">
        <v>38</v>
      </c>
      <c r="V11" s="2"/>
      <c r="W11" s="2" t="s">
        <v>38</v>
      </c>
      <c r="X11" s="2"/>
      <c r="Y11" s="2" t="s">
        <v>79</v>
      </c>
      <c r="Z11" s="2" t="s">
        <v>80</v>
      </c>
      <c r="AA11" s="2" t="s">
        <v>0</v>
      </c>
      <c r="AB11" s="2" t="s">
        <v>0</v>
      </c>
      <c r="AC11" s="2" t="s">
        <v>0</v>
      </c>
      <c r="AD11" s="3" t="n">
        <v>7.13217093E8</v>
      </c>
      <c r="AE11" s="2" t="s">
        <v>0</v>
      </c>
    </row>
    <row r="12" ht="12.75" customHeight="true">
      <c r="A12" s="2" t="s">
        <v>43</v>
      </c>
      <c r="B12" s="2" t="s">
        <v>81</v>
      </c>
      <c r="C12" s="5" t="str">
        <f>HYPERLINK("https://devcloud.cn-east-3.huaweicloud.com/projectman/scrum/056d9f51d521446da601fbbae99d32c2/task/detail/713217089","713217089")</f>
        <v>713217089</v>
      </c>
      <c r="D12" s="4" t="n">
        <v>7.13216972E8</v>
      </c>
      <c r="E12" s="2" t="s">
        <v>0</v>
      </c>
      <c r="F12" s="2" t="s">
        <v>0</v>
      </c>
      <c r="G12" s="4" t="n">
        <v>1.0</v>
      </c>
      <c r="H12" s="2" t="s">
        <v>34</v>
      </c>
      <c r="I12" s="2" t="s">
        <v>35</v>
      </c>
      <c r="J12" s="2" t="s">
        <v>36</v>
      </c>
      <c r="K12" s="2" t="s">
        <v>69</v>
      </c>
      <c r="L12" s="2" t="s">
        <v>0</v>
      </c>
      <c r="M12" s="2"/>
      <c r="N12" s="2" t="s">
        <v>0</v>
      </c>
      <c r="O12" s="2" t="s">
        <v>0</v>
      </c>
      <c r="P12" s="2" t="s">
        <v>0</v>
      </c>
      <c r="Q12" s="3" t="n">
        <v>0.0</v>
      </c>
      <c r="R12" s="3" t="n">
        <v>0.0</v>
      </c>
      <c r="S12" s="2" t="s">
        <v>0</v>
      </c>
      <c r="T12" s="7" t="n">
        <v>0.0</v>
      </c>
      <c r="U12" s="2" t="s">
        <v>38</v>
      </c>
      <c r="V12" s="2"/>
      <c r="W12" s="2" t="s">
        <v>38</v>
      </c>
      <c r="X12" s="2"/>
      <c r="Y12" s="2" t="s">
        <v>70</v>
      </c>
      <c r="Z12" s="2" t="s">
        <v>82</v>
      </c>
      <c r="AA12" s="2" t="s">
        <v>0</v>
      </c>
      <c r="AB12" s="2" t="s">
        <v>0</v>
      </c>
      <c r="AC12" s="2" t="s">
        <v>0</v>
      </c>
      <c r="AD12" s="3" t="n">
        <v>7.13217089E8</v>
      </c>
      <c r="AE12" s="2" t="s">
        <v>0</v>
      </c>
    </row>
    <row r="13" ht="12.75" customHeight="true">
      <c r="A13" s="2" t="s">
        <v>72</v>
      </c>
      <c r="B13" s="2" t="s">
        <v>83</v>
      </c>
      <c r="C13" s="5" t="str">
        <f>HYPERLINK("https://devcloud.cn-east-3.huaweicloud.com/projectman/scrum/056d9f51d521446da601fbbae99d32c2/task/detail/713217094","713217094")</f>
        <v>713217094</v>
      </c>
      <c r="D13" s="4" t="n">
        <v>7.13217089E8</v>
      </c>
      <c r="E13" s="2" t="s">
        <v>0</v>
      </c>
      <c r="F13" s="2" t="s">
        <v>0</v>
      </c>
      <c r="G13" s="4" t="n">
        <v>1.0</v>
      </c>
      <c r="H13" s="2" t="s">
        <v>34</v>
      </c>
      <c r="I13" s="2" t="s">
        <v>35</v>
      </c>
      <c r="J13" s="2" t="s">
        <v>36</v>
      </c>
      <c r="K13" s="2" t="s">
        <v>84</v>
      </c>
      <c r="L13" s="2" t="s">
        <v>0</v>
      </c>
      <c r="M13" s="2"/>
      <c r="N13" s="2" t="s">
        <v>0</v>
      </c>
      <c r="O13" s="2" t="s">
        <v>0</v>
      </c>
      <c r="P13" s="2" t="s">
        <v>0</v>
      </c>
      <c r="Q13" s="3" t="n">
        <v>0.0</v>
      </c>
      <c r="R13" s="3" t="n">
        <v>0.0</v>
      </c>
      <c r="S13" s="4" t="n">
        <v>1.0</v>
      </c>
      <c r="T13" s="7" t="n">
        <v>0.0</v>
      </c>
      <c r="U13" s="2" t="s">
        <v>38</v>
      </c>
      <c r="V13" s="2"/>
      <c r="W13" s="2" t="s">
        <v>38</v>
      </c>
      <c r="X13" s="2"/>
      <c r="Y13" s="2" t="s">
        <v>85</v>
      </c>
      <c r="Z13" s="2" t="s">
        <v>86</v>
      </c>
      <c r="AA13" s="2" t="s">
        <v>0</v>
      </c>
      <c r="AB13" s="2" t="s">
        <v>0</v>
      </c>
      <c r="AC13" s="2" t="s">
        <v>0</v>
      </c>
      <c r="AD13" s="3" t="n">
        <v>7.13217094E8</v>
      </c>
      <c r="AE13" s="2" t="s">
        <v>0</v>
      </c>
    </row>
    <row r="14" ht="12.75" customHeight="true">
      <c r="A14" s="2" t="s">
        <v>43</v>
      </c>
      <c r="B14" s="2" t="s">
        <v>87</v>
      </c>
      <c r="C14" s="5" t="str">
        <f>HYPERLINK("https://devcloud.cn-east-3.huaweicloud.com/projectman/scrum/056d9f51d521446da601fbbae99d32c2/task/detail/713217090","713217090")</f>
        <v>713217090</v>
      </c>
      <c r="D14" s="4" t="n">
        <v>7.13216972E8</v>
      </c>
      <c r="E14" s="2" t="s">
        <v>0</v>
      </c>
      <c r="F14" s="2" t="s">
        <v>0</v>
      </c>
      <c r="G14" s="4" t="n">
        <v>1.0</v>
      </c>
      <c r="H14" s="2" t="s">
        <v>34</v>
      </c>
      <c r="I14" s="2" t="s">
        <v>35</v>
      </c>
      <c r="J14" s="2" t="s">
        <v>36</v>
      </c>
      <c r="K14" s="2" t="s">
        <v>69</v>
      </c>
      <c r="L14" s="2" t="s">
        <v>0</v>
      </c>
      <c r="M14" s="2"/>
      <c r="N14" s="2" t="s">
        <v>0</v>
      </c>
      <c r="O14" s="2" t="s">
        <v>0</v>
      </c>
      <c r="P14" s="2" t="s">
        <v>0</v>
      </c>
      <c r="Q14" s="3" t="n">
        <v>0.0</v>
      </c>
      <c r="R14" s="3" t="n">
        <v>0.0</v>
      </c>
      <c r="S14" s="2" t="s">
        <v>0</v>
      </c>
      <c r="T14" s="7" t="n">
        <v>0.0</v>
      </c>
      <c r="U14" s="2" t="s">
        <v>38</v>
      </c>
      <c r="V14" s="2"/>
      <c r="W14" s="2" t="s">
        <v>38</v>
      </c>
      <c r="X14" s="2"/>
      <c r="Y14" s="2" t="s">
        <v>88</v>
      </c>
      <c r="Z14" s="2" t="s">
        <v>89</v>
      </c>
      <c r="AA14" s="2" t="s">
        <v>0</v>
      </c>
      <c r="AB14" s="2" t="s">
        <v>0</v>
      </c>
      <c r="AC14" s="2" t="s">
        <v>0</v>
      </c>
      <c r="AD14" s="3" t="n">
        <v>7.1321709E8</v>
      </c>
      <c r="AE14" s="2" t="s">
        <v>0</v>
      </c>
    </row>
    <row r="15" ht="12.75" customHeight="true">
      <c r="A15" s="2" t="s">
        <v>72</v>
      </c>
      <c r="B15" s="2" t="s">
        <v>90</v>
      </c>
      <c r="C15" s="5" t="str">
        <f>HYPERLINK("https://devcloud.cn-east-3.huaweicloud.com/projectman/scrum/056d9f51d521446da601fbbae99d32c2/task/detail/713217095","713217095")</f>
        <v>713217095</v>
      </c>
      <c r="D15" s="4" t="n">
        <v>7.1321709E8</v>
      </c>
      <c r="E15" s="2" t="s">
        <v>0</v>
      </c>
      <c r="F15" s="2" t="s">
        <v>0</v>
      </c>
      <c r="G15" s="4" t="n">
        <v>1.0</v>
      </c>
      <c r="H15" s="2" t="s">
        <v>34</v>
      </c>
      <c r="I15" s="2" t="s">
        <v>35</v>
      </c>
      <c r="J15" s="2" t="s">
        <v>36</v>
      </c>
      <c r="K15" s="2" t="s">
        <v>91</v>
      </c>
      <c r="L15" s="2" t="s">
        <v>0</v>
      </c>
      <c r="M15" s="2"/>
      <c r="N15" s="2" t="s">
        <v>0</v>
      </c>
      <c r="O15" s="2" t="s">
        <v>0</v>
      </c>
      <c r="P15" s="2" t="s">
        <v>0</v>
      </c>
      <c r="Q15" s="3" t="n">
        <v>0.0</v>
      </c>
      <c r="R15" s="3" t="n">
        <v>0.0</v>
      </c>
      <c r="S15" s="4" t="n">
        <v>1.0</v>
      </c>
      <c r="T15" s="7" t="n">
        <v>0.0</v>
      </c>
      <c r="U15" s="2" t="s">
        <v>38</v>
      </c>
      <c r="V15" s="2"/>
      <c r="W15" s="2" t="s">
        <v>38</v>
      </c>
      <c r="X15" s="2"/>
      <c r="Y15" s="2" t="s">
        <v>92</v>
      </c>
      <c r="Z15" s="2" t="s">
        <v>93</v>
      </c>
      <c r="AA15" s="2" t="s">
        <v>0</v>
      </c>
      <c r="AB15" s="2" t="s">
        <v>0</v>
      </c>
      <c r="AC15" s="2" t="s">
        <v>0</v>
      </c>
      <c r="AD15" s="3" t="n">
        <v>7.13217095E8</v>
      </c>
      <c r="AE15" s="2" t="s">
        <v>0</v>
      </c>
    </row>
    <row r="16" ht="12.75" customHeight="true">
      <c r="A16" s="2" t="s">
        <v>72</v>
      </c>
      <c r="B16" s="2" t="s">
        <v>94</v>
      </c>
      <c r="C16" s="5" t="str">
        <f>HYPERLINK("https://devcloud.cn-east-3.huaweicloud.com/projectman/scrum/056d9f51d521446da601fbbae99d32c2/task/detail/713217096","713217096")</f>
        <v>713217096</v>
      </c>
      <c r="D16" s="4" t="n">
        <v>7.1321709E8</v>
      </c>
      <c r="E16" s="2" t="s">
        <v>0</v>
      </c>
      <c r="F16" s="2" t="s">
        <v>0</v>
      </c>
      <c r="G16" s="4" t="n">
        <v>1.0</v>
      </c>
      <c r="H16" s="2" t="s">
        <v>34</v>
      </c>
      <c r="I16" s="2" t="s">
        <v>35</v>
      </c>
      <c r="J16" s="2" t="s">
        <v>36</v>
      </c>
      <c r="K16" s="2" t="s">
        <v>95</v>
      </c>
      <c r="L16" s="2" t="s">
        <v>0</v>
      </c>
      <c r="M16" s="2"/>
      <c r="N16" s="2" t="s">
        <v>0</v>
      </c>
      <c r="O16" s="2" t="s">
        <v>0</v>
      </c>
      <c r="P16" s="2" t="s">
        <v>0</v>
      </c>
      <c r="Q16" s="3" t="n">
        <v>0.0</v>
      </c>
      <c r="R16" s="3" t="n">
        <v>0.0</v>
      </c>
      <c r="S16" s="4" t="n">
        <v>1.0</v>
      </c>
      <c r="T16" s="7" t="n">
        <v>0.0</v>
      </c>
      <c r="U16" s="2" t="s">
        <v>38</v>
      </c>
      <c r="V16" s="2"/>
      <c r="W16" s="2" t="s">
        <v>38</v>
      </c>
      <c r="X16" s="2"/>
      <c r="Y16" s="2" t="s">
        <v>96</v>
      </c>
      <c r="Z16" s="2" t="s">
        <v>97</v>
      </c>
      <c r="AA16" s="2" t="s">
        <v>0</v>
      </c>
      <c r="AB16" s="2" t="s">
        <v>0</v>
      </c>
      <c r="AC16" s="2" t="s">
        <v>0</v>
      </c>
      <c r="AD16" s="3" t="n">
        <v>7.13217096E8</v>
      </c>
      <c r="AE16" s="2" t="s">
        <v>0</v>
      </c>
    </row>
    <row r="17" ht="12.75" customHeight="true">
      <c r="A17" s="2" t="s">
        <v>43</v>
      </c>
      <c r="B17" s="2" t="s">
        <v>98</v>
      </c>
      <c r="C17" s="5" t="str">
        <f>HYPERLINK("https://devcloud.cn-east-3.huaweicloud.com/projectman/scrum/056d9f51d521446da601fbbae99d32c2/task/detail/713217091","713217091")</f>
        <v>713217091</v>
      </c>
      <c r="D17" s="4" t="n">
        <v>7.13216972E8</v>
      </c>
      <c r="E17" s="2" t="s">
        <v>0</v>
      </c>
      <c r="F17" s="2" t="s">
        <v>0</v>
      </c>
      <c r="G17" s="4" t="n">
        <v>1.0</v>
      </c>
      <c r="H17" s="2" t="s">
        <v>34</v>
      </c>
      <c r="I17" s="2" t="s">
        <v>35</v>
      </c>
      <c r="J17" s="2" t="s">
        <v>36</v>
      </c>
      <c r="K17" s="2" t="s">
        <v>69</v>
      </c>
      <c r="L17" s="2" t="s">
        <v>0</v>
      </c>
      <c r="M17" s="2"/>
      <c r="N17" s="2" t="s">
        <v>0</v>
      </c>
      <c r="O17" s="2" t="s">
        <v>0</v>
      </c>
      <c r="P17" s="2" t="s">
        <v>0</v>
      </c>
      <c r="Q17" s="3" t="n">
        <v>0.0</v>
      </c>
      <c r="R17" s="3" t="n">
        <v>0.0</v>
      </c>
      <c r="S17" s="2" t="s">
        <v>0</v>
      </c>
      <c r="T17" s="7" t="n">
        <v>0.0</v>
      </c>
      <c r="U17" s="2" t="s">
        <v>38</v>
      </c>
      <c r="V17" s="2"/>
      <c r="W17" s="2" t="s">
        <v>38</v>
      </c>
      <c r="X17" s="2"/>
      <c r="Y17" s="2" t="s">
        <v>88</v>
      </c>
      <c r="Z17" s="2" t="s">
        <v>99</v>
      </c>
      <c r="AA17" s="2" t="s">
        <v>0</v>
      </c>
      <c r="AB17" s="2" t="s">
        <v>0</v>
      </c>
      <c r="AC17" s="2" t="s">
        <v>0</v>
      </c>
      <c r="AD17" s="3" t="n">
        <v>7.13217091E8</v>
      </c>
      <c r="AE17" s="2" t="s">
        <v>0</v>
      </c>
    </row>
    <row r="18" ht="12.75" customHeight="true">
      <c r="A18" s="2" t="s">
        <v>72</v>
      </c>
      <c r="B18" s="2" t="s">
        <v>100</v>
      </c>
      <c r="C18" s="5" t="str">
        <f>HYPERLINK("https://devcloud.cn-east-3.huaweicloud.com/projectman/scrum/056d9f51d521446da601fbbae99d32c2/task/detail/713217097","713217097")</f>
        <v>713217097</v>
      </c>
      <c r="D18" s="4" t="n">
        <v>7.13217091E8</v>
      </c>
      <c r="E18" s="2" t="s">
        <v>0</v>
      </c>
      <c r="F18" s="2" t="s">
        <v>0</v>
      </c>
      <c r="G18" s="4" t="n">
        <v>1.0</v>
      </c>
      <c r="H18" s="2" t="s">
        <v>34</v>
      </c>
      <c r="I18" s="2" t="s">
        <v>35</v>
      </c>
      <c r="J18" s="2" t="s">
        <v>36</v>
      </c>
      <c r="K18" s="2" t="s">
        <v>101</v>
      </c>
      <c r="L18" s="2" t="s">
        <v>0</v>
      </c>
      <c r="M18" s="2"/>
      <c r="N18" s="2" t="s">
        <v>0</v>
      </c>
      <c r="O18" s="2" t="s">
        <v>0</v>
      </c>
      <c r="P18" s="2" t="s">
        <v>0</v>
      </c>
      <c r="Q18" s="3" t="n">
        <v>0.0</v>
      </c>
      <c r="R18" s="3" t="n">
        <v>0.0</v>
      </c>
      <c r="S18" s="4" t="n">
        <v>1.0</v>
      </c>
      <c r="T18" s="7" t="n">
        <v>0.0</v>
      </c>
      <c r="U18" s="2" t="s">
        <v>38</v>
      </c>
      <c r="V18" s="2"/>
      <c r="W18" s="2" t="s">
        <v>38</v>
      </c>
      <c r="X18" s="2"/>
      <c r="Y18" s="2" t="s">
        <v>102</v>
      </c>
      <c r="Z18" s="2" t="s">
        <v>103</v>
      </c>
      <c r="AA18" s="2" t="s">
        <v>0</v>
      </c>
      <c r="AB18" s="2" t="s">
        <v>0</v>
      </c>
      <c r="AC18" s="2" t="s">
        <v>0</v>
      </c>
      <c r="AD18" s="3" t="n">
        <v>7.13217097E8</v>
      </c>
      <c r="AE18" s="2" t="s">
        <v>0</v>
      </c>
    </row>
    <row r="19" ht="12.75" customHeight="true">
      <c r="A19" s="2" t="s">
        <v>72</v>
      </c>
      <c r="B19" s="2" t="s">
        <v>104</v>
      </c>
      <c r="C19" s="5" t="str">
        <f>HYPERLINK("https://devcloud.cn-east-3.huaweicloud.com/projectman/scrum/056d9f51d521446da601fbbae99d32c2/task/detail/713217098","713217098")</f>
        <v>713217098</v>
      </c>
      <c r="D19" s="4" t="n">
        <v>7.13217091E8</v>
      </c>
      <c r="E19" s="2" t="s">
        <v>0</v>
      </c>
      <c r="F19" s="2" t="s">
        <v>0</v>
      </c>
      <c r="G19" s="4" t="n">
        <v>1.0</v>
      </c>
      <c r="H19" s="2" t="s">
        <v>34</v>
      </c>
      <c r="I19" s="2" t="s">
        <v>35</v>
      </c>
      <c r="J19" s="2" t="s">
        <v>36</v>
      </c>
      <c r="K19" s="2" t="s">
        <v>105</v>
      </c>
      <c r="L19" s="2" t="s">
        <v>0</v>
      </c>
      <c r="M19" s="2"/>
      <c r="N19" s="2" t="s">
        <v>0</v>
      </c>
      <c r="O19" s="2" t="s">
        <v>0</v>
      </c>
      <c r="P19" s="2" t="s">
        <v>0</v>
      </c>
      <c r="Q19" s="3" t="n">
        <v>0.0</v>
      </c>
      <c r="R19" s="3" t="n">
        <v>0.0</v>
      </c>
      <c r="S19" s="4" t="n">
        <v>1.0</v>
      </c>
      <c r="T19" s="7" t="n">
        <v>0.0</v>
      </c>
      <c r="U19" s="2" t="s">
        <v>38</v>
      </c>
      <c r="V19" s="2"/>
      <c r="W19" s="2" t="s">
        <v>38</v>
      </c>
      <c r="X19" s="2"/>
      <c r="Y19" s="2" t="s">
        <v>106</v>
      </c>
      <c r="Z19" s="2" t="s">
        <v>107</v>
      </c>
      <c r="AA19" s="2" t="s">
        <v>0</v>
      </c>
      <c r="AB19" s="2" t="s">
        <v>0</v>
      </c>
      <c r="AC19" s="2" t="s">
        <v>0</v>
      </c>
      <c r="AD19" s="3" t="n">
        <v>7.13217098E8</v>
      </c>
      <c r="AE19" s="2" t="s">
        <v>0</v>
      </c>
    </row>
    <row r="20" ht="12.75" customHeight="true">
      <c r="A20" s="2" t="s">
        <v>72</v>
      </c>
      <c r="B20" s="2" t="s">
        <v>108</v>
      </c>
      <c r="C20" s="5" t="str">
        <f>HYPERLINK("https://devcloud.cn-east-3.huaweicloud.com/projectman/scrum/056d9f51d521446da601fbbae99d32c2/task/detail/713217099","713217099")</f>
        <v>713217099</v>
      </c>
      <c r="D20" s="4" t="n">
        <v>7.13217091E8</v>
      </c>
      <c r="E20" s="2" t="s">
        <v>0</v>
      </c>
      <c r="F20" s="2" t="s">
        <v>0</v>
      </c>
      <c r="G20" s="4" t="n">
        <v>1.0</v>
      </c>
      <c r="H20" s="2" t="s">
        <v>34</v>
      </c>
      <c r="I20" s="2" t="s">
        <v>35</v>
      </c>
      <c r="J20" s="2" t="s">
        <v>36</v>
      </c>
      <c r="K20" s="2" t="s">
        <v>109</v>
      </c>
      <c r="L20" s="2" t="s">
        <v>0</v>
      </c>
      <c r="M20" s="2"/>
      <c r="N20" s="2" t="s">
        <v>0</v>
      </c>
      <c r="O20" s="2" t="s">
        <v>0</v>
      </c>
      <c r="P20" s="2" t="s">
        <v>0</v>
      </c>
      <c r="Q20" s="3" t="n">
        <v>0.0</v>
      </c>
      <c r="R20" s="3" t="n">
        <v>0.0</v>
      </c>
      <c r="S20" s="4" t="n">
        <v>1.0</v>
      </c>
      <c r="T20" s="7" t="n">
        <v>0.0</v>
      </c>
      <c r="U20" s="2" t="s">
        <v>38</v>
      </c>
      <c r="V20" s="2"/>
      <c r="W20" s="2" t="s">
        <v>38</v>
      </c>
      <c r="X20" s="2"/>
      <c r="Y20" s="2" t="s">
        <v>106</v>
      </c>
      <c r="Z20" s="2" t="s">
        <v>110</v>
      </c>
      <c r="AA20" s="2" t="s">
        <v>0</v>
      </c>
      <c r="AB20" s="2" t="s">
        <v>0</v>
      </c>
      <c r="AC20" s="2" t="s">
        <v>0</v>
      </c>
      <c r="AD20" s="3" t="n">
        <v>7.13217099E8</v>
      </c>
      <c r="AE20" s="2" t="s">
        <v>0</v>
      </c>
    </row>
    <row r="21" ht="12.75" customHeight="true">
      <c r="A21" s="2" t="s">
        <v>32</v>
      </c>
      <c r="B21" s="2" t="s">
        <v>111</v>
      </c>
      <c r="C21" s="5" t="str">
        <f>HYPERLINK("https://devcloud.cn-east-3.huaweicloud.com/projectman/scrum/056d9f51d521446da601fbbae99d32c2/task/detail/713216964","713216964")</f>
        <v>713216964</v>
      </c>
      <c r="D21" s="2"/>
      <c r="E21" s="2" t="s">
        <v>0</v>
      </c>
      <c r="F21" s="2" t="s">
        <v>0</v>
      </c>
      <c r="G21" s="4" t="n">
        <v>1.0</v>
      </c>
      <c r="H21" s="2" t="s">
        <v>34</v>
      </c>
      <c r="I21" s="2" t="s">
        <v>35</v>
      </c>
      <c r="J21" s="2" t="s">
        <v>36</v>
      </c>
      <c r="K21" s="2" t="s">
        <v>112</v>
      </c>
      <c r="L21" s="2" t="s">
        <v>0</v>
      </c>
      <c r="M21" s="2"/>
      <c r="N21" s="2" t="s">
        <v>0</v>
      </c>
      <c r="O21" s="2" t="s">
        <v>0</v>
      </c>
      <c r="P21" s="2" t="s">
        <v>0</v>
      </c>
      <c r="Q21" s="3" t="n">
        <v>0.0</v>
      </c>
      <c r="R21" s="3" t="n">
        <v>0.0</v>
      </c>
      <c r="S21" s="2" t="s">
        <v>0</v>
      </c>
      <c r="T21" s="7" t="n">
        <v>0.0</v>
      </c>
      <c r="U21" s="2" t="s">
        <v>38</v>
      </c>
      <c r="V21" s="2"/>
      <c r="W21" s="2" t="s">
        <v>38</v>
      </c>
      <c r="X21" s="2"/>
      <c r="Y21" s="2" t="s">
        <v>113</v>
      </c>
      <c r="Z21" s="2" t="s">
        <v>114</v>
      </c>
      <c r="AA21" s="2"/>
      <c r="AB21" s="2" t="s">
        <v>41</v>
      </c>
      <c r="AC21" s="2" t="s">
        <v>42</v>
      </c>
      <c r="AD21" s="3" t="n">
        <v>7.13216964E8</v>
      </c>
      <c r="AE21" s="2" t="s">
        <v>0</v>
      </c>
    </row>
    <row r="22" ht="12.75" customHeight="true">
      <c r="A22" s="2" t="s">
        <v>43</v>
      </c>
      <c r="B22" s="2" t="s">
        <v>115</v>
      </c>
      <c r="C22" s="5" t="str">
        <f>HYPERLINK("https://devcloud.cn-east-3.huaweicloud.com/projectman/scrum/056d9f51d521446da601fbbae99d32c2/task/detail/713217080","713217080")</f>
        <v>713217080</v>
      </c>
      <c r="D22" s="4" t="n">
        <v>7.13216964E8</v>
      </c>
      <c r="E22" s="2" t="s">
        <v>0</v>
      </c>
      <c r="F22" s="2" t="s">
        <v>0</v>
      </c>
      <c r="G22" s="4" t="n">
        <v>1.0</v>
      </c>
      <c r="H22" s="2" t="s">
        <v>34</v>
      </c>
      <c r="I22" s="2" t="s">
        <v>35</v>
      </c>
      <c r="J22" s="2" t="s">
        <v>36</v>
      </c>
      <c r="K22" s="2" t="s">
        <v>69</v>
      </c>
      <c r="L22" s="2" t="s">
        <v>0</v>
      </c>
      <c r="M22" s="2"/>
      <c r="N22" s="2" t="s">
        <v>0</v>
      </c>
      <c r="O22" s="2" t="s">
        <v>0</v>
      </c>
      <c r="P22" s="2" t="s">
        <v>0</v>
      </c>
      <c r="Q22" s="3" t="n">
        <v>0.0</v>
      </c>
      <c r="R22" s="3" t="n">
        <v>0.0</v>
      </c>
      <c r="S22" s="2" t="s">
        <v>0</v>
      </c>
      <c r="T22" s="7" t="n">
        <v>0.0</v>
      </c>
      <c r="U22" s="2" t="s">
        <v>38</v>
      </c>
      <c r="V22" s="2"/>
      <c r="W22" s="2" t="s">
        <v>38</v>
      </c>
      <c r="X22" s="2"/>
      <c r="Y22" s="2" t="s">
        <v>116</v>
      </c>
      <c r="Z22" s="2" t="s">
        <v>117</v>
      </c>
      <c r="AA22" s="2" t="s">
        <v>0</v>
      </c>
      <c r="AB22" s="2" t="s">
        <v>0</v>
      </c>
      <c r="AC22" s="2" t="s">
        <v>0</v>
      </c>
      <c r="AD22" s="3" t="n">
        <v>7.1321708E8</v>
      </c>
      <c r="AE22" s="2" t="s">
        <v>0</v>
      </c>
    </row>
    <row r="23" ht="12.75" customHeight="true">
      <c r="A23" s="2" t="s">
        <v>72</v>
      </c>
      <c r="B23" s="2" t="s">
        <v>118</v>
      </c>
      <c r="C23" s="5" t="str">
        <f>HYPERLINK("https://devcloud.cn-east-3.huaweicloud.com/projectman/scrum/056d9f51d521446da601fbbae99d32c2/task/detail/713217082","713217082")</f>
        <v>713217082</v>
      </c>
      <c r="D23" s="4" t="n">
        <v>7.1321708E8</v>
      </c>
      <c r="E23" s="2" t="s">
        <v>0</v>
      </c>
      <c r="F23" s="2" t="s">
        <v>0</v>
      </c>
      <c r="G23" s="4" t="n">
        <v>1.0</v>
      </c>
      <c r="H23" s="2" t="s">
        <v>34</v>
      </c>
      <c r="I23" s="2" t="s">
        <v>35</v>
      </c>
      <c r="J23" s="2" t="s">
        <v>36</v>
      </c>
      <c r="K23" s="2" t="s">
        <v>119</v>
      </c>
      <c r="L23" s="2" t="s">
        <v>0</v>
      </c>
      <c r="M23" s="2"/>
      <c r="N23" s="2" t="s">
        <v>0</v>
      </c>
      <c r="O23" s="2" t="s">
        <v>0</v>
      </c>
      <c r="P23" s="2" t="s">
        <v>0</v>
      </c>
      <c r="Q23" s="3" t="n">
        <v>0.0</v>
      </c>
      <c r="R23" s="3" t="n">
        <v>0.0</v>
      </c>
      <c r="S23" s="4" t="n">
        <v>1.0</v>
      </c>
      <c r="T23" s="7" t="n">
        <v>0.0</v>
      </c>
      <c r="U23" s="2" t="s">
        <v>38</v>
      </c>
      <c r="V23" s="2"/>
      <c r="W23" s="2" t="s">
        <v>38</v>
      </c>
      <c r="X23" s="2"/>
      <c r="Y23" s="2" t="s">
        <v>120</v>
      </c>
      <c r="Z23" s="2" t="s">
        <v>121</v>
      </c>
      <c r="AA23" s="2" t="s">
        <v>0</v>
      </c>
      <c r="AB23" s="2" t="s">
        <v>0</v>
      </c>
      <c r="AC23" s="2" t="s">
        <v>0</v>
      </c>
      <c r="AD23" s="3" t="n">
        <v>7.13217082E8</v>
      </c>
      <c r="AE23" s="2" t="s">
        <v>0</v>
      </c>
    </row>
    <row r="24" ht="12.75" customHeight="true">
      <c r="A24" s="2" t="s">
        <v>43</v>
      </c>
      <c r="B24" s="2" t="s">
        <v>122</v>
      </c>
      <c r="C24" s="5" t="str">
        <f>HYPERLINK("https://devcloud.cn-east-3.huaweicloud.com/projectman/scrum/056d9f51d521446da601fbbae99d32c2/task/detail/713217081","713217081")</f>
        <v>713217081</v>
      </c>
      <c r="D24" s="4" t="n">
        <v>7.13216964E8</v>
      </c>
      <c r="E24" s="2" t="s">
        <v>0</v>
      </c>
      <c r="F24" s="2" t="s">
        <v>0</v>
      </c>
      <c r="G24" s="4" t="n">
        <v>1.0</v>
      </c>
      <c r="H24" s="2" t="s">
        <v>34</v>
      </c>
      <c r="I24" s="2" t="s">
        <v>35</v>
      </c>
      <c r="J24" s="2" t="s">
        <v>36</v>
      </c>
      <c r="K24" s="2" t="s">
        <v>69</v>
      </c>
      <c r="L24" s="2" t="s">
        <v>0</v>
      </c>
      <c r="M24" s="2"/>
      <c r="N24" s="2" t="s">
        <v>0</v>
      </c>
      <c r="O24" s="2" t="s">
        <v>0</v>
      </c>
      <c r="P24" s="2" t="s">
        <v>0</v>
      </c>
      <c r="Q24" s="3" t="n">
        <v>0.0</v>
      </c>
      <c r="R24" s="3" t="n">
        <v>0.0</v>
      </c>
      <c r="S24" s="2" t="s">
        <v>0</v>
      </c>
      <c r="T24" s="7" t="n">
        <v>0.0</v>
      </c>
      <c r="U24" s="2" t="s">
        <v>38</v>
      </c>
      <c r="V24" s="2"/>
      <c r="W24" s="2" t="s">
        <v>38</v>
      </c>
      <c r="X24" s="2"/>
      <c r="Y24" s="2" t="s">
        <v>123</v>
      </c>
      <c r="Z24" s="2" t="s">
        <v>124</v>
      </c>
      <c r="AA24" s="2" t="s">
        <v>0</v>
      </c>
      <c r="AB24" s="2" t="s">
        <v>0</v>
      </c>
      <c r="AC24" s="2" t="s">
        <v>0</v>
      </c>
      <c r="AD24" s="3" t="n">
        <v>7.13217081E8</v>
      </c>
      <c r="AE24" s="2" t="s">
        <v>0</v>
      </c>
    </row>
    <row r="25" ht="12.75" customHeight="true">
      <c r="A25" s="2" t="s">
        <v>72</v>
      </c>
      <c r="B25" s="2" t="s">
        <v>125</v>
      </c>
      <c r="C25" s="5" t="str">
        <f>HYPERLINK("https://devcloud.cn-east-3.huaweicloud.com/projectman/scrum/056d9f51d521446da601fbbae99d32c2/task/detail/713217083","713217083")</f>
        <v>713217083</v>
      </c>
      <c r="D25" s="4" t="n">
        <v>7.13217081E8</v>
      </c>
      <c r="E25" s="2" t="s">
        <v>0</v>
      </c>
      <c r="F25" s="2" t="s">
        <v>0</v>
      </c>
      <c r="G25" s="4" t="n">
        <v>1.0</v>
      </c>
      <c r="H25" s="2" t="s">
        <v>34</v>
      </c>
      <c r="I25" s="2" t="s">
        <v>35</v>
      </c>
      <c r="J25" s="2" t="s">
        <v>36</v>
      </c>
      <c r="K25" s="2" t="s">
        <v>126</v>
      </c>
      <c r="L25" s="2" t="s">
        <v>0</v>
      </c>
      <c r="M25" s="2"/>
      <c r="N25" s="2" t="s">
        <v>0</v>
      </c>
      <c r="O25" s="2" t="s">
        <v>0</v>
      </c>
      <c r="P25" s="2" t="s">
        <v>0</v>
      </c>
      <c r="Q25" s="3" t="n">
        <v>0.0</v>
      </c>
      <c r="R25" s="3" t="n">
        <v>0.0</v>
      </c>
      <c r="S25" s="4" t="n">
        <v>1.0</v>
      </c>
      <c r="T25" s="7" t="n">
        <v>0.0</v>
      </c>
      <c r="U25" s="2" t="s">
        <v>38</v>
      </c>
      <c r="V25" s="2"/>
      <c r="W25" s="2" t="s">
        <v>38</v>
      </c>
      <c r="X25" s="2"/>
      <c r="Y25" s="2" t="s">
        <v>127</v>
      </c>
      <c r="Z25" s="2" t="s">
        <v>128</v>
      </c>
      <c r="AA25" s="2" t="s">
        <v>0</v>
      </c>
      <c r="AB25" s="2" t="s">
        <v>0</v>
      </c>
      <c r="AC25" s="2" t="s">
        <v>0</v>
      </c>
      <c r="AD25" s="3" t="n">
        <v>7.13217083E8</v>
      </c>
      <c r="AE25" s="2" t="s">
        <v>0</v>
      </c>
    </row>
    <row r="26" ht="12.75" customHeight="true">
      <c r="A26" s="2" t="s">
        <v>72</v>
      </c>
      <c r="B26" s="2" t="s">
        <v>129</v>
      </c>
      <c r="C26" s="5" t="str">
        <f>HYPERLINK("https://devcloud.cn-east-3.huaweicloud.com/projectman/scrum/056d9f51d521446da601fbbae99d32c2/task/detail/713217084","713217084")</f>
        <v>713217084</v>
      </c>
      <c r="D26" s="4" t="n">
        <v>7.13217081E8</v>
      </c>
      <c r="E26" s="2" t="s">
        <v>0</v>
      </c>
      <c r="F26" s="2" t="s">
        <v>0</v>
      </c>
      <c r="G26" s="4" t="n">
        <v>1.0</v>
      </c>
      <c r="H26" s="2" t="s">
        <v>34</v>
      </c>
      <c r="I26" s="2" t="s">
        <v>35</v>
      </c>
      <c r="J26" s="2" t="s">
        <v>36</v>
      </c>
      <c r="K26" s="2" t="s">
        <v>130</v>
      </c>
      <c r="L26" s="2" t="s">
        <v>0</v>
      </c>
      <c r="M26" s="2"/>
      <c r="N26" s="2" t="s">
        <v>0</v>
      </c>
      <c r="O26" s="2" t="s">
        <v>0</v>
      </c>
      <c r="P26" s="2" t="s">
        <v>0</v>
      </c>
      <c r="Q26" s="3" t="n">
        <v>0.0</v>
      </c>
      <c r="R26" s="3" t="n">
        <v>0.0</v>
      </c>
      <c r="S26" s="4" t="n">
        <v>1.0</v>
      </c>
      <c r="T26" s="7" t="n">
        <v>0.0</v>
      </c>
      <c r="U26" s="2" t="s">
        <v>38</v>
      </c>
      <c r="V26" s="2"/>
      <c r="W26" s="2" t="s">
        <v>38</v>
      </c>
      <c r="X26" s="2"/>
      <c r="Y26" s="2" t="s">
        <v>131</v>
      </c>
      <c r="Z26" s="2" t="s">
        <v>132</v>
      </c>
      <c r="AA26" s="2" t="s">
        <v>0</v>
      </c>
      <c r="AB26" s="2" t="s">
        <v>0</v>
      </c>
      <c r="AC26" s="2" t="s">
        <v>0</v>
      </c>
      <c r="AD26" s="3" t="n">
        <v>7.13217084E8</v>
      </c>
      <c r="AE26" s="2" t="s">
        <v>0</v>
      </c>
    </row>
    <row r="27" ht="12.75" customHeight="true">
      <c r="A27" s="2" t="s">
        <v>32</v>
      </c>
      <c r="B27" s="2" t="s">
        <v>133</v>
      </c>
      <c r="C27" s="5" t="str">
        <f>HYPERLINK("https://devcloud.cn-east-3.huaweicloud.com/projectman/scrum/056d9f51d521446da601fbbae99d32c2/task/detail/713216951","713216951")</f>
        <v>713216951</v>
      </c>
      <c r="D27" s="2"/>
      <c r="E27" s="2" t="s">
        <v>0</v>
      </c>
      <c r="F27" s="2" t="s">
        <v>0</v>
      </c>
      <c r="G27" s="4" t="n">
        <v>1.0</v>
      </c>
      <c r="H27" s="2" t="s">
        <v>34</v>
      </c>
      <c r="I27" s="2" t="s">
        <v>35</v>
      </c>
      <c r="J27" s="2" t="s">
        <v>36</v>
      </c>
      <c r="K27" s="2" t="s">
        <v>134</v>
      </c>
      <c r="L27" s="2" t="s">
        <v>0</v>
      </c>
      <c r="M27" s="2"/>
      <c r="N27" s="2" t="s">
        <v>0</v>
      </c>
      <c r="O27" s="2" t="s">
        <v>0</v>
      </c>
      <c r="P27" s="2" t="s">
        <v>0</v>
      </c>
      <c r="Q27" s="3" t="n">
        <v>0.0</v>
      </c>
      <c r="R27" s="3" t="n">
        <v>0.0</v>
      </c>
      <c r="S27" s="2" t="s">
        <v>0</v>
      </c>
      <c r="T27" s="7" t="n">
        <v>0.0</v>
      </c>
      <c r="U27" s="2" t="s">
        <v>38</v>
      </c>
      <c r="V27" s="2"/>
      <c r="W27" s="2" t="s">
        <v>38</v>
      </c>
      <c r="X27" s="2"/>
      <c r="Y27" s="2" t="s">
        <v>135</v>
      </c>
      <c r="Z27" s="2" t="s">
        <v>136</v>
      </c>
      <c r="AA27" s="2"/>
      <c r="AB27" s="2" t="s">
        <v>41</v>
      </c>
      <c r="AC27" s="2" t="s">
        <v>42</v>
      </c>
      <c r="AD27" s="3" t="n">
        <v>7.13216951E8</v>
      </c>
      <c r="AE27" s="2" t="s">
        <v>0</v>
      </c>
    </row>
    <row r="28" ht="12.75" customHeight="true">
      <c r="A28" s="2" t="s">
        <v>43</v>
      </c>
      <c r="B28" s="2" t="s">
        <v>137</v>
      </c>
      <c r="C28" s="5" t="str">
        <f>HYPERLINK("https://devcloud.cn-east-3.huaweicloud.com/projectman/scrum/056d9f51d521446da601fbbae99d32c2/task/detail/713217062","713217062")</f>
        <v>713217062</v>
      </c>
      <c r="D28" s="4" t="n">
        <v>7.13216951E8</v>
      </c>
      <c r="E28" s="2" t="s">
        <v>0</v>
      </c>
      <c r="F28" s="2" t="s">
        <v>0</v>
      </c>
      <c r="G28" s="4" t="n">
        <v>1.0</v>
      </c>
      <c r="H28" s="2" t="s">
        <v>34</v>
      </c>
      <c r="I28" s="2" t="s">
        <v>35</v>
      </c>
      <c r="J28" s="2" t="s">
        <v>36</v>
      </c>
      <c r="K28" s="2" t="s">
        <v>138</v>
      </c>
      <c r="L28" s="2" t="s">
        <v>0</v>
      </c>
      <c r="M28" s="2"/>
      <c r="N28" s="2" t="s">
        <v>0</v>
      </c>
      <c r="O28" s="2" t="s">
        <v>0</v>
      </c>
      <c r="P28" s="2" t="s">
        <v>0</v>
      </c>
      <c r="Q28" s="3" t="n">
        <v>0.0</v>
      </c>
      <c r="R28" s="3" t="n">
        <v>0.0</v>
      </c>
      <c r="S28" s="2" t="s">
        <v>0</v>
      </c>
      <c r="T28" s="7" t="n">
        <v>0.0</v>
      </c>
      <c r="U28" s="2" t="s">
        <v>38</v>
      </c>
      <c r="V28" s="2"/>
      <c r="W28" s="2" t="s">
        <v>38</v>
      </c>
      <c r="X28" s="2"/>
      <c r="Y28" s="2" t="s">
        <v>139</v>
      </c>
      <c r="Z28" s="2" t="s">
        <v>140</v>
      </c>
      <c r="AA28" s="2" t="s">
        <v>0</v>
      </c>
      <c r="AB28" s="2" t="s">
        <v>0</v>
      </c>
      <c r="AC28" s="2" t="s">
        <v>0</v>
      </c>
      <c r="AD28" s="3" t="n">
        <v>7.13217062E8</v>
      </c>
      <c r="AE28" s="2" t="s">
        <v>0</v>
      </c>
    </row>
    <row r="29" ht="12.75" customHeight="true">
      <c r="A29" s="2" t="s">
        <v>72</v>
      </c>
      <c r="B29" s="2" t="s">
        <v>141</v>
      </c>
      <c r="C29" s="5" t="str">
        <f>HYPERLINK("https://devcloud.cn-east-3.huaweicloud.com/projectman/scrum/056d9f51d521446da601fbbae99d32c2/task/detail/713217064","713217064")</f>
        <v>713217064</v>
      </c>
      <c r="D29" s="4" t="n">
        <v>7.13217062E8</v>
      </c>
      <c r="E29" s="2" t="s">
        <v>0</v>
      </c>
      <c r="F29" s="2" t="s">
        <v>0</v>
      </c>
      <c r="G29" s="4" t="n">
        <v>1.0</v>
      </c>
      <c r="H29" s="2" t="s">
        <v>34</v>
      </c>
      <c r="I29" s="2" t="s">
        <v>35</v>
      </c>
      <c r="J29" s="2" t="s">
        <v>36</v>
      </c>
      <c r="K29" s="2" t="s">
        <v>142</v>
      </c>
      <c r="L29" s="2" t="s">
        <v>0</v>
      </c>
      <c r="M29" s="2"/>
      <c r="N29" s="2" t="s">
        <v>0</v>
      </c>
      <c r="O29" s="2" t="s">
        <v>0</v>
      </c>
      <c r="P29" s="2" t="s">
        <v>0</v>
      </c>
      <c r="Q29" s="3" t="n">
        <v>0.0</v>
      </c>
      <c r="R29" s="3" t="n">
        <v>0.0</v>
      </c>
      <c r="S29" s="4" t="n">
        <v>1.0</v>
      </c>
      <c r="T29" s="7" t="n">
        <v>0.0</v>
      </c>
      <c r="U29" s="2" t="s">
        <v>38</v>
      </c>
      <c r="V29" s="2"/>
      <c r="W29" s="2" t="s">
        <v>38</v>
      </c>
      <c r="X29" s="2"/>
      <c r="Y29" s="2" t="s">
        <v>143</v>
      </c>
      <c r="Z29" s="2" t="s">
        <v>144</v>
      </c>
      <c r="AA29" s="2" t="s">
        <v>0</v>
      </c>
      <c r="AB29" s="2" t="s">
        <v>0</v>
      </c>
      <c r="AC29" s="2" t="s">
        <v>0</v>
      </c>
      <c r="AD29" s="3" t="n">
        <v>7.13217064E8</v>
      </c>
      <c r="AE29" s="2" t="s">
        <v>0</v>
      </c>
    </row>
    <row r="30" ht="12.75" customHeight="true">
      <c r="A30" s="2" t="s">
        <v>72</v>
      </c>
      <c r="B30" s="2" t="s">
        <v>145</v>
      </c>
      <c r="C30" s="5" t="str">
        <f>HYPERLINK("https://devcloud.cn-east-3.huaweicloud.com/projectman/scrum/056d9f51d521446da601fbbae99d32c2/task/detail/713217071","713217071")</f>
        <v>713217071</v>
      </c>
      <c r="D30" s="4" t="n">
        <v>7.13217062E8</v>
      </c>
      <c r="E30" s="2" t="s">
        <v>0</v>
      </c>
      <c r="F30" s="2" t="s">
        <v>0</v>
      </c>
      <c r="G30" s="4" t="n">
        <v>1.0</v>
      </c>
      <c r="H30" s="2" t="s">
        <v>34</v>
      </c>
      <c r="I30" s="2" t="s">
        <v>35</v>
      </c>
      <c r="J30" s="2" t="s">
        <v>36</v>
      </c>
      <c r="K30" s="2" t="s">
        <v>69</v>
      </c>
      <c r="L30" s="2" t="s">
        <v>0</v>
      </c>
      <c r="M30" s="2"/>
      <c r="N30" s="2" t="s">
        <v>0</v>
      </c>
      <c r="O30" s="2" t="s">
        <v>0</v>
      </c>
      <c r="P30" s="2" t="s">
        <v>0</v>
      </c>
      <c r="Q30" s="3" t="n">
        <v>0.0</v>
      </c>
      <c r="R30" s="3" t="n">
        <v>0.0</v>
      </c>
      <c r="S30" s="4" t="n">
        <v>1.0</v>
      </c>
      <c r="T30" s="7" t="n">
        <v>0.0</v>
      </c>
      <c r="U30" s="2" t="s">
        <v>38</v>
      </c>
      <c r="V30" s="2"/>
      <c r="W30" s="2" t="s">
        <v>38</v>
      </c>
      <c r="X30" s="2"/>
      <c r="Y30" s="2" t="s">
        <v>146</v>
      </c>
      <c r="Z30" s="2" t="s">
        <v>147</v>
      </c>
      <c r="AA30" s="2" t="s">
        <v>0</v>
      </c>
      <c r="AB30" s="2" t="s">
        <v>0</v>
      </c>
      <c r="AC30" s="2" t="s">
        <v>0</v>
      </c>
      <c r="AD30" s="3" t="n">
        <v>7.13217071E8</v>
      </c>
      <c r="AE30" s="2" t="s">
        <v>0</v>
      </c>
    </row>
    <row r="31" ht="12.75" customHeight="true">
      <c r="A31" s="2" t="s">
        <v>43</v>
      </c>
      <c r="B31" s="2" t="s">
        <v>148</v>
      </c>
      <c r="C31" s="5" t="str">
        <f>HYPERLINK("https://devcloud.cn-east-3.huaweicloud.com/projectman/scrum/056d9f51d521446da601fbbae99d32c2/task/detail/713217073","713217073")</f>
        <v>713217073</v>
      </c>
      <c r="D31" s="4" t="n">
        <v>7.13216951E8</v>
      </c>
      <c r="E31" s="2" t="s">
        <v>0</v>
      </c>
      <c r="F31" s="2" t="s">
        <v>0</v>
      </c>
      <c r="G31" s="4" t="n">
        <v>1.0</v>
      </c>
      <c r="H31" s="2" t="s">
        <v>34</v>
      </c>
      <c r="I31" s="2" t="s">
        <v>35</v>
      </c>
      <c r="J31" s="2" t="s">
        <v>36</v>
      </c>
      <c r="K31" s="2" t="s">
        <v>69</v>
      </c>
      <c r="L31" s="2" t="s">
        <v>0</v>
      </c>
      <c r="M31" s="2"/>
      <c r="N31" s="2" t="s">
        <v>0</v>
      </c>
      <c r="O31" s="2" t="s">
        <v>0</v>
      </c>
      <c r="P31" s="2" t="s">
        <v>0</v>
      </c>
      <c r="Q31" s="3" t="n">
        <v>0.0</v>
      </c>
      <c r="R31" s="3" t="n">
        <v>0.0</v>
      </c>
      <c r="S31" s="2" t="s">
        <v>0</v>
      </c>
      <c r="T31" s="7" t="n">
        <v>0.0</v>
      </c>
      <c r="U31" s="2" t="s">
        <v>38</v>
      </c>
      <c r="V31" s="2"/>
      <c r="W31" s="2" t="s">
        <v>38</v>
      </c>
      <c r="X31" s="2"/>
      <c r="Y31" s="2" t="s">
        <v>149</v>
      </c>
      <c r="Z31" s="2" t="s">
        <v>150</v>
      </c>
      <c r="AA31" s="2" t="s">
        <v>0</v>
      </c>
      <c r="AB31" s="2" t="s">
        <v>0</v>
      </c>
      <c r="AC31" s="2" t="s">
        <v>0</v>
      </c>
      <c r="AD31" s="3" t="n">
        <v>7.13217073E8</v>
      </c>
      <c r="AE31" s="2" t="s">
        <v>0</v>
      </c>
    </row>
    <row r="32" ht="12.75" customHeight="true">
      <c r="A32" s="2" t="s">
        <v>72</v>
      </c>
      <c r="B32" s="2" t="s">
        <v>151</v>
      </c>
      <c r="C32" s="5" t="str">
        <f>HYPERLINK("https://devcloud.cn-east-3.huaweicloud.com/projectman/scrum/056d9f51d521446da601fbbae99d32c2/task/detail/713217078","713217078")</f>
        <v>713217078</v>
      </c>
      <c r="D32" s="4" t="n">
        <v>7.13217073E8</v>
      </c>
      <c r="E32" s="2" t="s">
        <v>0</v>
      </c>
      <c r="F32" s="2" t="s">
        <v>0</v>
      </c>
      <c r="G32" s="4" t="n">
        <v>1.0</v>
      </c>
      <c r="H32" s="2" t="s">
        <v>34</v>
      </c>
      <c r="I32" s="2" t="s">
        <v>35</v>
      </c>
      <c r="J32" s="2" t="s">
        <v>36</v>
      </c>
      <c r="K32" s="2" t="s">
        <v>152</v>
      </c>
      <c r="L32" s="2" t="s">
        <v>0</v>
      </c>
      <c r="M32" s="2"/>
      <c r="N32" s="2" t="s">
        <v>0</v>
      </c>
      <c r="O32" s="2" t="s">
        <v>0</v>
      </c>
      <c r="P32" s="2" t="s">
        <v>0</v>
      </c>
      <c r="Q32" s="3" t="n">
        <v>0.0</v>
      </c>
      <c r="R32" s="3" t="n">
        <v>0.0</v>
      </c>
      <c r="S32" s="4" t="n">
        <v>1.0</v>
      </c>
      <c r="T32" s="7" t="n">
        <v>0.0</v>
      </c>
      <c r="U32" s="2" t="s">
        <v>38</v>
      </c>
      <c r="V32" s="2"/>
      <c r="W32" s="2" t="s">
        <v>38</v>
      </c>
      <c r="X32" s="2"/>
      <c r="Y32" s="2" t="s">
        <v>153</v>
      </c>
      <c r="Z32" s="2" t="s">
        <v>154</v>
      </c>
      <c r="AA32" s="2" t="s">
        <v>0</v>
      </c>
      <c r="AB32" s="2" t="s">
        <v>0</v>
      </c>
      <c r="AC32" s="2" t="s">
        <v>0</v>
      </c>
      <c r="AD32" s="3" t="n">
        <v>7.13217078E8</v>
      </c>
      <c r="AE32" s="2" t="s">
        <v>0</v>
      </c>
    </row>
    <row r="33" ht="12.75" customHeight="true">
      <c r="A33" s="2" t="s">
        <v>72</v>
      </c>
      <c r="B33" s="2" t="s">
        <v>155</v>
      </c>
      <c r="C33" s="5" t="str">
        <f>HYPERLINK("https://devcloud.cn-east-3.huaweicloud.com/projectman/scrum/056d9f51d521446da601fbbae99d32c2/task/detail/713217079","713217079")</f>
        <v>713217079</v>
      </c>
      <c r="D33" s="4" t="n">
        <v>7.13217073E8</v>
      </c>
      <c r="E33" s="2" t="s">
        <v>0</v>
      </c>
      <c r="F33" s="2" t="s">
        <v>0</v>
      </c>
      <c r="G33" s="4" t="n">
        <v>1.0</v>
      </c>
      <c r="H33" s="2" t="s">
        <v>34</v>
      </c>
      <c r="I33" s="2" t="s">
        <v>35</v>
      </c>
      <c r="J33" s="2" t="s">
        <v>36</v>
      </c>
      <c r="K33" s="2" t="s">
        <v>156</v>
      </c>
      <c r="L33" s="2" t="s">
        <v>0</v>
      </c>
      <c r="M33" s="2"/>
      <c r="N33" s="2" t="s">
        <v>0</v>
      </c>
      <c r="O33" s="2" t="s">
        <v>0</v>
      </c>
      <c r="P33" s="2" t="s">
        <v>0</v>
      </c>
      <c r="Q33" s="3" t="n">
        <v>0.0</v>
      </c>
      <c r="R33" s="3" t="n">
        <v>0.0</v>
      </c>
      <c r="S33" s="4" t="n">
        <v>1.0</v>
      </c>
      <c r="T33" s="7" t="n">
        <v>0.0</v>
      </c>
      <c r="U33" s="2" t="s">
        <v>38</v>
      </c>
      <c r="V33" s="2"/>
      <c r="W33" s="2" t="s">
        <v>38</v>
      </c>
      <c r="X33" s="2"/>
      <c r="Y33" s="2" t="s">
        <v>157</v>
      </c>
      <c r="Z33" s="2" t="s">
        <v>158</v>
      </c>
      <c r="AA33" s="2" t="s">
        <v>0</v>
      </c>
      <c r="AB33" s="2" t="s">
        <v>0</v>
      </c>
      <c r="AC33" s="2" t="s">
        <v>0</v>
      </c>
      <c r="AD33" s="3" t="n">
        <v>7.13217079E8</v>
      </c>
      <c r="AE33" s="2" t="s">
        <v>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2025-12-03T09:38:19Z</dcterms:created>
  <dc:creator>Apache POI</dc:creator>
</cp:coreProperties>
</file>